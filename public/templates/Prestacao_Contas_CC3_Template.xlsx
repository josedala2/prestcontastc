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tables/table2.xml" ContentType="application/vnd.openxmlformats-officedocument.spreadsheetml.table+xml"/>
  <Override PartName="/xl/customProperty2.bin" ContentType="application/vnd.openxmlformats-officedocument.spreadsheetml.customProperty"/>
  <Override PartName="/xl/drawings/drawing19.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ustomProperty3.bin" ContentType="application/vnd.openxmlformats-officedocument.spreadsheetml.customProperty"/>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EstaPastaDeTrabalho"/>
  <mc:AlternateContent xmlns:mc="http://schemas.openxmlformats.org/markup-compatibility/2006">
    <mc:Choice Requires="x15">
      <x15ac:absPath xmlns:x15ac="http://schemas.microsoft.com/office/spreadsheetml/2010/11/ac" url="C:\Users\User\Downloads\"/>
    </mc:Choice>
  </mc:AlternateContent>
  <xr:revisionPtr revIDLastSave="0" documentId="13_ncr:1_{B6F99DA9-4D30-4D63-913C-58975880C253}" xr6:coauthVersionLast="47" xr6:coauthVersionMax="47" xr10:uidLastSave="{00000000-0000-0000-0000-000000000000}"/>
  <bookViews>
    <workbookView showSheetTabs="0" xWindow="-110" yWindow="-110" windowWidth="19420" windowHeight="11500" tabRatio="786" activeTab="2" xr2:uid="{00000000-000D-0000-FFFF-FFFF00000000}"/>
  </bookViews>
  <sheets>
    <sheet name="MENU" sheetId="2" r:id="rId1"/>
    <sheet name="Plano Contas" sheetId="31" r:id="rId2"/>
    <sheet name="Balancete" sheetId="30" r:id="rId3"/>
    <sheet name="Activos Não Correntes" sheetId="12" r:id="rId4"/>
    <sheet name="Activos Correntes" sheetId="3" r:id="rId5"/>
    <sheet name="Capital Próprio" sheetId="23" r:id="rId6"/>
    <sheet name="Passivo Não Corrente" sheetId="14" r:id="rId7"/>
    <sheet name="Passivo Corrente" sheetId="13" r:id="rId8"/>
    <sheet name="Balanço Patrimonial" sheetId="22" r:id="rId9"/>
    <sheet name="Proveitos por Natureza" sheetId="4" r:id="rId10"/>
    <sheet name="Custos por Natureza" sheetId="19" r:id="rId11"/>
    <sheet name="DRE" sheetId="20" r:id="rId12"/>
    <sheet name="Gráficos" sheetId="6" r:id="rId13"/>
    <sheet name="Indicadores de Endividamento" sheetId="15" r:id="rId14"/>
    <sheet name="Indicadores de Liquidez" sheetId="5" r:id="rId15"/>
    <sheet name="Indicadores da Operação" sheetId="16" r:id="rId16"/>
    <sheet name="Indicadores de Rentabilidade" sheetId="17" r:id="rId17"/>
    <sheet name="Avaliação da Conta" sheetId="28" r:id="rId18"/>
    <sheet name="Auxiliar DFC" sheetId="32" r:id="rId19"/>
    <sheet name="Investimentos" sheetId="33" r:id="rId20"/>
    <sheet name="Impressão" sheetId="8" r:id="rId21"/>
    <sheet name="311231223" sheetId="24" state="hidden" r:id="rId22"/>
  </sheets>
  <externalReferences>
    <externalReference r:id="rId23"/>
    <externalReference r:id="rId24"/>
  </externalReferences>
  <definedNames>
    <definedName name="DadosExternos_1" localSheetId="2" hidden="1">Balancete!$F$5:$G$487</definedName>
    <definedName name="Depreciação" localSheetId="18">#REF!</definedName>
    <definedName name="Depreciação" localSheetId="17">#REF!</definedName>
    <definedName name="Depreciação">#REF!</definedName>
    <definedName name="Despesas_com_Marketing">#REF!</definedName>
    <definedName name="Despesas_com_Produtos">#REF!</definedName>
    <definedName name="Despesas_com_RH">#REF!</definedName>
    <definedName name="Despesas_com_Serviços">#REF!</definedName>
    <definedName name="Despesas_Não_Operacionais">#REF!</definedName>
    <definedName name="Despesas_Operacionais">#REF!</definedName>
    <definedName name="Impostos">#REF!</definedName>
    <definedName name="Investimentos">#REF!</definedName>
    <definedName name="_xlnm.Print_Area" localSheetId="20">Impressão!$C$4:$J$194</definedName>
    <definedName name="_xlnm.Print_Area" localSheetId="1">'Plano Contas'!$B$3:$E$308</definedName>
    <definedName name="Receitas_com_Produtos">#REF!</definedName>
    <definedName name="Receitas_Com_Serviços">#REF!</definedName>
    <definedName name="Receitas_Não_Operacionais">#REF!</definedName>
    <definedName name="Sal" localSheetId="17">[1]Cad3!$B$5:$B$14</definedName>
    <definedName name="Sal">[2]Cad3!$B$5:$B$14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13" l="1"/>
  <c r="E150" i="30"/>
  <c r="D150" i="30"/>
  <c r="E22" i="3"/>
  <c r="E41" i="3"/>
  <c r="F153" i="30"/>
  <c r="F152" i="30"/>
  <c r="E151" i="30"/>
  <c r="D151" i="30"/>
  <c r="E204" i="30"/>
  <c r="D204" i="30"/>
  <c r="F400" i="30"/>
  <c r="E77" i="30"/>
  <c r="E134" i="30"/>
  <c r="H65" i="28"/>
  <c r="H64" i="28"/>
  <c r="H63" i="28"/>
  <c r="H62" i="28"/>
  <c r="H60" i="28"/>
  <c r="H59" i="28"/>
  <c r="H58" i="28"/>
  <c r="H57" i="28"/>
  <c r="H56" i="28"/>
  <c r="H55" i="28"/>
  <c r="H54" i="28"/>
  <c r="H53" i="28"/>
  <c r="H52" i="28"/>
  <c r="H51" i="28"/>
  <c r="H50" i="28"/>
  <c r="H49" i="28"/>
  <c r="H48" i="28"/>
  <c r="H47" i="28"/>
  <c r="H46" i="28"/>
  <c r="H45" i="28"/>
  <c r="H44" i="28"/>
  <c r="H43" i="28"/>
  <c r="H42" i="28"/>
  <c r="H40" i="28"/>
  <c r="H39" i="28"/>
  <c r="H37" i="28"/>
  <c r="H36" i="28"/>
  <c r="H35" i="28"/>
  <c r="N60" i="28"/>
  <c r="N59" i="28"/>
  <c r="N58" i="28"/>
  <c r="N57" i="28"/>
  <c r="N56" i="28"/>
  <c r="N55" i="28"/>
  <c r="N54" i="28"/>
  <c r="N53" i="28"/>
  <c r="N52" i="28"/>
  <c r="N51" i="28"/>
  <c r="N50" i="28"/>
  <c r="N49" i="28"/>
  <c r="N48" i="28"/>
  <c r="N47" i="28"/>
  <c r="N46" i="28"/>
  <c r="N45" i="28"/>
  <c r="N44" i="28"/>
  <c r="N43" i="28"/>
  <c r="N42" i="28"/>
  <c r="N40" i="28"/>
  <c r="N39" i="28"/>
  <c r="N37" i="28"/>
  <c r="N36" i="28"/>
  <c r="G36" i="28"/>
  <c r="L36" i="28"/>
  <c r="N35" i="28"/>
  <c r="Y37" i="28"/>
  <c r="Y36" i="28"/>
  <c r="G60" i="28"/>
  <c r="L60" i="28"/>
  <c r="G59" i="28"/>
  <c r="L59" i="28"/>
  <c r="G58" i="28"/>
  <c r="L58" i="28"/>
  <c r="G57" i="28"/>
  <c r="L57" i="28"/>
  <c r="G56" i="28"/>
  <c r="L56" i="28"/>
  <c r="E24" i="28"/>
  <c r="G24" i="28"/>
  <c r="E22" i="28"/>
  <c r="G22" i="28"/>
  <c r="F27" i="28"/>
  <c r="F26" i="28"/>
  <c r="F25" i="28"/>
  <c r="F24" i="28"/>
  <c r="F22" i="28"/>
  <c r="E16" i="28"/>
  <c r="E25" i="28"/>
  <c r="G25" i="28"/>
  <c r="E26" i="28"/>
  <c r="G26" i="28"/>
  <c r="E27" i="28"/>
  <c r="G27" i="28"/>
  <c r="E28" i="28"/>
  <c r="G28" i="28"/>
  <c r="E29" i="28"/>
  <c r="F16" i="28"/>
  <c r="C18" i="28"/>
  <c r="C17" i="28"/>
  <c r="G11" i="14"/>
  <c r="N13" i="20"/>
  <c r="N13" i="19"/>
  <c r="G77" i="19"/>
  <c r="G76" i="19"/>
  <c r="G75" i="19"/>
  <c r="G74" i="19"/>
  <c r="G71" i="19"/>
  <c r="G70" i="19"/>
  <c r="G68" i="19"/>
  <c r="G67" i="19"/>
  <c r="G66" i="19"/>
  <c r="G65" i="19"/>
  <c r="G64" i="19"/>
  <c r="G63" i="19"/>
  <c r="G62" i="19"/>
  <c r="G57" i="19"/>
  <c r="G56" i="19"/>
  <c r="G52" i="19"/>
  <c r="G49" i="19"/>
  <c r="G48" i="19"/>
  <c r="G47" i="19"/>
  <c r="G42" i="19"/>
  <c r="G41" i="19"/>
  <c r="G40" i="19"/>
  <c r="G39" i="19"/>
  <c r="G38" i="19"/>
  <c r="G37" i="19"/>
  <c r="G36" i="19"/>
  <c r="G71" i="4"/>
  <c r="G70" i="4"/>
  <c r="G69" i="4"/>
  <c r="G68" i="4"/>
  <c r="G67" i="4"/>
  <c r="G66" i="4"/>
  <c r="G63" i="4"/>
  <c r="G62" i="4"/>
  <c r="G61" i="4"/>
  <c r="G60" i="4"/>
  <c r="G59" i="4"/>
  <c r="G58" i="4"/>
  <c r="G57" i="4"/>
  <c r="G56" i="4"/>
  <c r="G55" i="4"/>
  <c r="G50" i="4"/>
  <c r="G49" i="4"/>
  <c r="G44" i="4"/>
  <c r="G43" i="4"/>
  <c r="G38" i="4"/>
  <c r="G34" i="4"/>
  <c r="G33" i="4"/>
  <c r="G32" i="4"/>
  <c r="G12" i="4"/>
  <c r="G11" i="4"/>
  <c r="G10" i="4"/>
  <c r="G9" i="4"/>
  <c r="G8" i="4"/>
  <c r="G18" i="4"/>
  <c r="G17" i="4"/>
  <c r="G65" i="4"/>
  <c r="G31" i="4"/>
  <c r="G55" i="19"/>
  <c r="N10" i="19"/>
  <c r="N10" i="20"/>
  <c r="G73" i="19"/>
  <c r="N12" i="19"/>
  <c r="N12" i="20"/>
  <c r="F454" i="30"/>
  <c r="F453" i="30"/>
  <c r="F452" i="30"/>
  <c r="F451" i="30"/>
  <c r="F449" i="30"/>
  <c r="E71" i="19"/>
  <c r="F448" i="30"/>
  <c r="E70" i="19"/>
  <c r="F447" i="30"/>
  <c r="F446" i="30"/>
  <c r="F445" i="30"/>
  <c r="F444" i="30"/>
  <c r="F443" i="30"/>
  <c r="F442" i="30"/>
  <c r="F441" i="30"/>
  <c r="F440" i="30"/>
  <c r="F439" i="30"/>
  <c r="F438" i="30"/>
  <c r="F437" i="30"/>
  <c r="F434" i="30"/>
  <c r="F433" i="30"/>
  <c r="F431" i="30"/>
  <c r="F430" i="30"/>
  <c r="F429" i="30"/>
  <c r="F427" i="30"/>
  <c r="F426" i="30"/>
  <c r="F424" i="30"/>
  <c r="F423" i="30"/>
  <c r="F422" i="30"/>
  <c r="F421" i="30"/>
  <c r="F420" i="30"/>
  <c r="F419" i="30"/>
  <c r="F418" i="30"/>
  <c r="F415" i="30"/>
  <c r="F414" i="30"/>
  <c r="F413" i="30"/>
  <c r="F412" i="30"/>
  <c r="F411" i="30"/>
  <c r="F410" i="30"/>
  <c r="F409" i="30"/>
  <c r="F407" i="30"/>
  <c r="F406" i="30"/>
  <c r="F405" i="30"/>
  <c r="F404" i="30"/>
  <c r="F403" i="30"/>
  <c r="F401" i="30"/>
  <c r="F399" i="30"/>
  <c r="F398" i="30"/>
  <c r="F397" i="30"/>
  <c r="F396" i="30"/>
  <c r="F395" i="30"/>
  <c r="F392" i="30"/>
  <c r="F391" i="30"/>
  <c r="F390" i="30"/>
  <c r="F389" i="30"/>
  <c r="F388" i="30"/>
  <c r="F387" i="30"/>
  <c r="F386" i="30"/>
  <c r="F385" i="30"/>
  <c r="F383" i="30"/>
  <c r="F382" i="30"/>
  <c r="F381" i="30"/>
  <c r="F380" i="30"/>
  <c r="F379" i="30"/>
  <c r="F376" i="30"/>
  <c r="F375" i="30"/>
  <c r="F374" i="30"/>
  <c r="F373" i="30"/>
  <c r="F372" i="30"/>
  <c r="F371" i="30"/>
  <c r="F369" i="30"/>
  <c r="F368" i="30"/>
  <c r="F367" i="30"/>
  <c r="F366" i="30"/>
  <c r="F365" i="30"/>
  <c r="F364" i="30"/>
  <c r="F363" i="30"/>
  <c r="F362" i="30"/>
  <c r="F361" i="30"/>
  <c r="F360" i="30"/>
  <c r="F359" i="30"/>
  <c r="F358" i="30"/>
  <c r="F355" i="30"/>
  <c r="F353" i="30"/>
  <c r="F352" i="30"/>
  <c r="F350" i="30"/>
  <c r="F349" i="30"/>
  <c r="F347" i="30"/>
  <c r="F346" i="30"/>
  <c r="F345" i="30"/>
  <c r="F343" i="30"/>
  <c r="F342" i="30"/>
  <c r="F341" i="30"/>
  <c r="F340" i="30"/>
  <c r="F339" i="30"/>
  <c r="F338" i="30"/>
  <c r="F337" i="30"/>
  <c r="F334" i="30"/>
  <c r="F333" i="30"/>
  <c r="F332" i="30"/>
  <c r="F331" i="30"/>
  <c r="F330" i="30"/>
  <c r="F327" i="30"/>
  <c r="F326" i="30"/>
  <c r="F325" i="30"/>
  <c r="F323" i="30"/>
  <c r="F322" i="30"/>
  <c r="F321" i="30"/>
  <c r="F320" i="30"/>
  <c r="F319" i="30"/>
  <c r="F318" i="30"/>
  <c r="F317" i="30"/>
  <c r="F316" i="30"/>
  <c r="F315" i="30"/>
  <c r="F312" i="30"/>
  <c r="F311" i="30"/>
  <c r="F310" i="30"/>
  <c r="F308" i="30"/>
  <c r="F307" i="30"/>
  <c r="F306" i="30"/>
  <c r="F305" i="30"/>
  <c r="F304" i="30"/>
  <c r="F303" i="30"/>
  <c r="F302" i="30"/>
  <c r="F299" i="30"/>
  <c r="F297" i="30"/>
  <c r="F295" i="30"/>
  <c r="F294" i="30"/>
  <c r="F293" i="30"/>
  <c r="F292" i="30"/>
  <c r="F291" i="30"/>
  <c r="F288" i="30"/>
  <c r="F286" i="30"/>
  <c r="F284" i="30"/>
  <c r="F283" i="30"/>
  <c r="F281" i="30"/>
  <c r="F280" i="30"/>
  <c r="F279" i="30"/>
  <c r="F277" i="30"/>
  <c r="F275" i="30"/>
  <c r="F273" i="30"/>
  <c r="F272" i="30"/>
  <c r="F271" i="30"/>
  <c r="F269" i="30"/>
  <c r="F266" i="30"/>
  <c r="F265" i="30"/>
  <c r="F263" i="30"/>
  <c r="F262" i="30"/>
  <c r="F260" i="30"/>
  <c r="F259" i="30"/>
  <c r="F257" i="30"/>
  <c r="F256" i="30"/>
  <c r="F254" i="30"/>
  <c r="F253" i="30"/>
  <c r="F251" i="30"/>
  <c r="F250" i="30"/>
  <c r="F248" i="30"/>
  <c r="F247" i="30"/>
  <c r="F246" i="30"/>
  <c r="F243" i="30"/>
  <c r="F242" i="30"/>
  <c r="F241" i="30"/>
  <c r="F240" i="30"/>
  <c r="F239" i="30"/>
  <c r="F237" i="30"/>
  <c r="F236" i="30"/>
  <c r="F234" i="30"/>
  <c r="F233" i="30"/>
  <c r="F232" i="30"/>
  <c r="F231" i="30"/>
  <c r="F230" i="30"/>
  <c r="F229" i="30"/>
  <c r="F228" i="30"/>
  <c r="F225" i="30"/>
  <c r="F224" i="30"/>
  <c r="F222" i="30"/>
  <c r="F220" i="30"/>
  <c r="F219" i="30"/>
  <c r="F218" i="30"/>
  <c r="F217" i="30"/>
  <c r="F216" i="30"/>
  <c r="F214" i="30"/>
  <c r="F213" i="30"/>
  <c r="F211" i="30"/>
  <c r="E38" i="3"/>
  <c r="F210" i="30"/>
  <c r="F209" i="30"/>
  <c r="F207" i="30"/>
  <c r="E36" i="3"/>
  <c r="F205" i="30"/>
  <c r="F203" i="30"/>
  <c r="F202" i="30"/>
  <c r="F201" i="30"/>
  <c r="F199" i="30"/>
  <c r="F198" i="30"/>
  <c r="F197" i="30"/>
  <c r="F195" i="30"/>
  <c r="F194" i="30"/>
  <c r="F193" i="30"/>
  <c r="F190" i="30"/>
  <c r="F189" i="30"/>
  <c r="F188" i="30"/>
  <c r="F186" i="30"/>
  <c r="F185" i="30"/>
  <c r="F183" i="30"/>
  <c r="F182" i="30"/>
  <c r="F179" i="30"/>
  <c r="F178" i="30"/>
  <c r="F176" i="30"/>
  <c r="F175" i="30"/>
  <c r="F174" i="30"/>
  <c r="F173" i="30"/>
  <c r="F172" i="30"/>
  <c r="F171" i="30"/>
  <c r="F170" i="30"/>
  <c r="F166" i="30"/>
  <c r="F165" i="30"/>
  <c r="F164" i="30"/>
  <c r="F163" i="30"/>
  <c r="F162" i="30"/>
  <c r="F161" i="30"/>
  <c r="F160" i="30"/>
  <c r="F159" i="30"/>
  <c r="F158" i="30"/>
  <c r="F156" i="30"/>
  <c r="F155" i="30"/>
  <c r="F154" i="30"/>
  <c r="F151" i="30"/>
  <c r="F149" i="30"/>
  <c r="F148" i="30"/>
  <c r="F147" i="30"/>
  <c r="F146" i="30"/>
  <c r="F144" i="30"/>
  <c r="F143" i="30"/>
  <c r="F142" i="30"/>
  <c r="F141" i="30"/>
  <c r="F139" i="30"/>
  <c r="F138" i="30"/>
  <c r="F137" i="30"/>
  <c r="F136" i="30"/>
  <c r="F135" i="30"/>
  <c r="F132" i="30"/>
  <c r="F131" i="30"/>
  <c r="F130" i="30"/>
  <c r="F129" i="30"/>
  <c r="F128" i="30"/>
  <c r="F127" i="30"/>
  <c r="F125" i="30"/>
  <c r="F124" i="30"/>
  <c r="F122" i="30"/>
  <c r="F121" i="30"/>
  <c r="F120" i="30"/>
  <c r="F118" i="30"/>
  <c r="F117" i="30"/>
  <c r="F116" i="30"/>
  <c r="F114" i="30"/>
  <c r="F113" i="30"/>
  <c r="F111" i="30"/>
  <c r="F110" i="30"/>
  <c r="F109" i="30"/>
  <c r="F107" i="30"/>
  <c r="F106" i="30"/>
  <c r="F104" i="30"/>
  <c r="F103" i="30"/>
  <c r="F102" i="30"/>
  <c r="F101" i="30"/>
  <c r="F100" i="30"/>
  <c r="F98" i="30"/>
  <c r="F97" i="30"/>
  <c r="F96" i="30"/>
  <c r="F95" i="30"/>
  <c r="F94" i="30"/>
  <c r="F91" i="30"/>
  <c r="F90" i="30"/>
  <c r="F89" i="30"/>
  <c r="F88" i="30"/>
  <c r="F87" i="30"/>
  <c r="F85" i="30"/>
  <c r="F84" i="30"/>
  <c r="F82" i="30"/>
  <c r="F81" i="30"/>
  <c r="F80" i="30"/>
  <c r="F79" i="30"/>
  <c r="F78" i="30"/>
  <c r="F76" i="30"/>
  <c r="F75" i="30"/>
  <c r="F74" i="30"/>
  <c r="F73" i="30"/>
  <c r="F72" i="30"/>
  <c r="F71" i="30"/>
  <c r="F70" i="30"/>
  <c r="F67" i="30"/>
  <c r="F66" i="30"/>
  <c r="F65" i="30"/>
  <c r="F64" i="30"/>
  <c r="F63" i="30"/>
  <c r="F62" i="30"/>
  <c r="F59" i="30"/>
  <c r="F58" i="30"/>
  <c r="F57" i="30"/>
  <c r="F56" i="30"/>
  <c r="F55" i="30"/>
  <c r="F53" i="30"/>
  <c r="F52" i="30"/>
  <c r="F51" i="30"/>
  <c r="F50" i="30"/>
  <c r="F48" i="30"/>
  <c r="F47" i="30"/>
  <c r="F46" i="30"/>
  <c r="F45" i="30"/>
  <c r="F42" i="30"/>
  <c r="F41" i="30"/>
  <c r="F40" i="30"/>
  <c r="F39" i="30"/>
  <c r="F37" i="30"/>
  <c r="F36" i="30"/>
  <c r="F34" i="30"/>
  <c r="F33" i="30"/>
  <c r="F31" i="30"/>
  <c r="F30" i="30"/>
  <c r="F28" i="30"/>
  <c r="F27" i="30"/>
  <c r="F26" i="30"/>
  <c r="F25" i="30"/>
  <c r="F23" i="30"/>
  <c r="F22" i="30"/>
  <c r="F20" i="30"/>
  <c r="F19" i="30"/>
  <c r="F18" i="30"/>
  <c r="F16" i="30"/>
  <c r="F15" i="30"/>
  <c r="F14" i="30"/>
  <c r="F12" i="30"/>
  <c r="F11" i="30"/>
  <c r="F10" i="30"/>
  <c r="F9" i="30"/>
  <c r="E484" i="30"/>
  <c r="D484" i="30"/>
  <c r="E458" i="30"/>
  <c r="D458" i="30"/>
  <c r="E450" i="30"/>
  <c r="E483" i="30"/>
  <c r="D450" i="30"/>
  <c r="E436" i="30"/>
  <c r="E435" i="30"/>
  <c r="E479" i="30"/>
  <c r="D436" i="30"/>
  <c r="E432" i="30"/>
  <c r="E476" i="30"/>
  <c r="D432" i="30"/>
  <c r="D476" i="30"/>
  <c r="E428" i="30"/>
  <c r="D428" i="30"/>
  <c r="E425" i="30"/>
  <c r="D425" i="30"/>
  <c r="E417" i="30"/>
  <c r="D417" i="30"/>
  <c r="E408" i="30"/>
  <c r="E470" i="30"/>
  <c r="D408" i="30"/>
  <c r="D470" i="30"/>
  <c r="E402" i="30"/>
  <c r="D402" i="30"/>
  <c r="E394" i="30"/>
  <c r="D394" i="30"/>
  <c r="E384" i="30"/>
  <c r="E468" i="30"/>
  <c r="D384" i="30"/>
  <c r="D468" i="30"/>
  <c r="E378" i="30"/>
  <c r="E467" i="30"/>
  <c r="D378" i="30"/>
  <c r="E370" i="30"/>
  <c r="E482" i="30"/>
  <c r="D370" i="30"/>
  <c r="E357" i="30"/>
  <c r="E356" i="30"/>
  <c r="E478" i="30"/>
  <c r="D357" i="30"/>
  <c r="F357" i="30"/>
  <c r="E354" i="30"/>
  <c r="E475" i="30"/>
  <c r="D354" i="30"/>
  <c r="F354" i="30"/>
  <c r="E351" i="30"/>
  <c r="D351" i="30"/>
  <c r="E348" i="30"/>
  <c r="D348" i="30"/>
  <c r="E344" i="30"/>
  <c r="D344" i="30"/>
  <c r="E336" i="30"/>
  <c r="D336" i="30"/>
  <c r="E329" i="30"/>
  <c r="E328" i="30"/>
  <c r="E466" i="30"/>
  <c r="D329" i="30"/>
  <c r="D328" i="30"/>
  <c r="E324" i="30"/>
  <c r="E465" i="30"/>
  <c r="D324" i="30"/>
  <c r="F324" i="30"/>
  <c r="E314" i="30"/>
  <c r="E313" i="30"/>
  <c r="E464" i="30"/>
  <c r="D314" i="30"/>
  <c r="D313" i="30"/>
  <c r="E309" i="30"/>
  <c r="E463" i="30"/>
  <c r="D309" i="30"/>
  <c r="E301" i="30"/>
  <c r="E462" i="30"/>
  <c r="D301" i="30"/>
  <c r="D462" i="30"/>
  <c r="E290" i="30"/>
  <c r="E289" i="30"/>
  <c r="D290" i="30"/>
  <c r="D289" i="30"/>
  <c r="E287" i="30"/>
  <c r="D287" i="30"/>
  <c r="E285" i="30"/>
  <c r="D285" i="30"/>
  <c r="E282" i="30"/>
  <c r="D282" i="30"/>
  <c r="E278" i="30"/>
  <c r="D278" i="30"/>
  <c r="E276" i="30"/>
  <c r="D276" i="30"/>
  <c r="E274" i="30"/>
  <c r="D274" i="30"/>
  <c r="E270" i="30"/>
  <c r="D270" i="30"/>
  <c r="E268" i="30"/>
  <c r="D268" i="30"/>
  <c r="E264" i="30"/>
  <c r="D264" i="30"/>
  <c r="E261" i="30"/>
  <c r="D261" i="30"/>
  <c r="E258" i="30"/>
  <c r="E255" i="30"/>
  <c r="D258" i="30"/>
  <c r="E252" i="30"/>
  <c r="D252" i="30"/>
  <c r="E249" i="30"/>
  <c r="D249" i="30"/>
  <c r="E245" i="30"/>
  <c r="D245" i="30"/>
  <c r="E238" i="30"/>
  <c r="D238" i="30"/>
  <c r="E235" i="30"/>
  <c r="D235" i="30"/>
  <c r="E227" i="30"/>
  <c r="D227" i="30"/>
  <c r="E223" i="30"/>
  <c r="D223" i="30"/>
  <c r="E221" i="30"/>
  <c r="D221" i="30"/>
  <c r="E215" i="30"/>
  <c r="E212" i="30"/>
  <c r="D215" i="30"/>
  <c r="D212" i="30"/>
  <c r="E208" i="30"/>
  <c r="D208" i="30"/>
  <c r="E200" i="30"/>
  <c r="D200" i="30"/>
  <c r="E196" i="30"/>
  <c r="D196" i="30"/>
  <c r="E192" i="30"/>
  <c r="D192" i="30"/>
  <c r="E187" i="30"/>
  <c r="D187" i="30"/>
  <c r="E184" i="30"/>
  <c r="D184" i="30"/>
  <c r="E181" i="30"/>
  <c r="D181" i="30"/>
  <c r="E177" i="30"/>
  <c r="D177" i="30"/>
  <c r="E169" i="30"/>
  <c r="D169" i="30"/>
  <c r="E157" i="30"/>
  <c r="D157" i="30"/>
  <c r="E145" i="30"/>
  <c r="D145" i="30"/>
  <c r="E140" i="30"/>
  <c r="D140" i="30"/>
  <c r="D134" i="30"/>
  <c r="F134" i="30"/>
  <c r="E126" i="30"/>
  <c r="D126" i="30"/>
  <c r="E123" i="30"/>
  <c r="D123" i="30"/>
  <c r="E119" i="30"/>
  <c r="D119" i="30"/>
  <c r="E115" i="30"/>
  <c r="D115" i="30"/>
  <c r="E112" i="30"/>
  <c r="D112" i="30"/>
  <c r="E108" i="30"/>
  <c r="D108" i="30"/>
  <c r="E105" i="30"/>
  <c r="D105" i="30"/>
  <c r="E99" i="30"/>
  <c r="D99" i="30"/>
  <c r="E93" i="30"/>
  <c r="D93" i="30"/>
  <c r="E86" i="30"/>
  <c r="D86" i="30"/>
  <c r="E83" i="30"/>
  <c r="D83" i="30"/>
  <c r="D77" i="30"/>
  <c r="E69" i="30"/>
  <c r="D69" i="30"/>
  <c r="E61" i="30"/>
  <c r="E60" i="30"/>
  <c r="D61" i="30"/>
  <c r="D60" i="30"/>
  <c r="E54" i="30"/>
  <c r="D54" i="30"/>
  <c r="E49" i="30"/>
  <c r="D49" i="30"/>
  <c r="E44" i="30"/>
  <c r="D44" i="30"/>
  <c r="E38" i="30"/>
  <c r="E35" i="30"/>
  <c r="D38" i="30"/>
  <c r="E32" i="30"/>
  <c r="D32" i="30"/>
  <c r="E29" i="30"/>
  <c r="D29" i="30"/>
  <c r="E24" i="30"/>
  <c r="D24" i="30"/>
  <c r="E21" i="30"/>
  <c r="D21" i="30"/>
  <c r="E17" i="30"/>
  <c r="D17" i="30"/>
  <c r="E13" i="30"/>
  <c r="D13" i="30"/>
  <c r="E8" i="30"/>
  <c r="D8" i="30"/>
  <c r="F270" i="30"/>
  <c r="F221" i="30"/>
  <c r="F44" i="30"/>
  <c r="F49" i="30"/>
  <c r="F450" i="30"/>
  <c r="F17" i="30"/>
  <c r="F54" i="30"/>
  <c r="F145" i="30"/>
  <c r="F425" i="30"/>
  <c r="F13" i="30"/>
  <c r="F351" i="30"/>
  <c r="F196" i="30"/>
  <c r="E226" i="30"/>
  <c r="F204" i="30"/>
  <c r="F348" i="30"/>
  <c r="F428" i="30"/>
  <c r="F29" i="30"/>
  <c r="F278" i="30"/>
  <c r="E416" i="30"/>
  <c r="E473" i="30"/>
  <c r="F83" i="30"/>
  <c r="F112" i="30"/>
  <c r="F264" i="30"/>
  <c r="F282" i="30"/>
  <c r="E43" i="30"/>
  <c r="F86" i="30"/>
  <c r="F115" i="30"/>
  <c r="F245" i="30"/>
  <c r="F285" i="30"/>
  <c r="F394" i="30"/>
  <c r="F314" i="30"/>
  <c r="F249" i="30"/>
  <c r="F93" i="30"/>
  <c r="F119" i="30"/>
  <c r="E474" i="30"/>
  <c r="F238" i="30"/>
  <c r="F123" i="30"/>
  <c r="F402" i="30"/>
  <c r="F436" i="30"/>
  <c r="F8" i="30"/>
  <c r="F177" i="30"/>
  <c r="F252" i="30"/>
  <c r="F274" i="30"/>
  <c r="F289" i="30"/>
  <c r="F328" i="30"/>
  <c r="D356" i="30"/>
  <c r="F105" i="30"/>
  <c r="F126" i="30"/>
  <c r="F258" i="30"/>
  <c r="F38" i="30"/>
  <c r="F108" i="30"/>
  <c r="F370" i="30"/>
  <c r="F417" i="30"/>
  <c r="F184" i="30"/>
  <c r="F235" i="30"/>
  <c r="F261" i="30"/>
  <c r="F309" i="30"/>
  <c r="F344" i="30"/>
  <c r="F157" i="30"/>
  <c r="F140" i="30"/>
  <c r="F77" i="30"/>
  <c r="F32" i="30"/>
  <c r="E481" i="30"/>
  <c r="D463" i="30"/>
  <c r="D35" i="30"/>
  <c r="F35" i="30"/>
  <c r="F99" i="30"/>
  <c r="F268" i="30"/>
  <c r="D482" i="30"/>
  <c r="F69" i="30"/>
  <c r="D465" i="30"/>
  <c r="F287" i="30"/>
  <c r="D483" i="30"/>
  <c r="D226" i="30"/>
  <c r="D255" i="30"/>
  <c r="F255" i="30"/>
  <c r="D466" i="30"/>
  <c r="E68" i="30"/>
  <c r="E180" i="30"/>
  <c r="F227" i="30"/>
  <c r="F432" i="30"/>
  <c r="F24" i="30"/>
  <c r="F276" i="30"/>
  <c r="F301" i="30"/>
  <c r="D475" i="30"/>
  <c r="D474" i="30"/>
  <c r="D435" i="30"/>
  <c r="D479" i="30"/>
  <c r="F187" i="30"/>
  <c r="F329" i="30"/>
  <c r="F290" i="30"/>
  <c r="F21" i="30"/>
  <c r="E7" i="30"/>
  <c r="F408" i="30"/>
  <c r="E393" i="30"/>
  <c r="E469" i="30"/>
  <c r="E461" i="30"/>
  <c r="F378" i="30"/>
  <c r="E335" i="30"/>
  <c r="E472" i="30"/>
  <c r="F336" i="30"/>
  <c r="F313" i="30"/>
  <c r="E244" i="30"/>
  <c r="F212" i="30"/>
  <c r="F200" i="30"/>
  <c r="F192" i="30"/>
  <c r="F181" i="30"/>
  <c r="D393" i="30"/>
  <c r="F384" i="30"/>
  <c r="D467" i="30"/>
  <c r="D464" i="30"/>
  <c r="F223" i="30"/>
  <c r="F215" i="30"/>
  <c r="D180" i="30"/>
  <c r="F169" i="30"/>
  <c r="F208" i="30"/>
  <c r="F60" i="30"/>
  <c r="F61" i="30"/>
  <c r="E477" i="30"/>
  <c r="D416" i="30"/>
  <c r="D335" i="30"/>
  <c r="E267" i="30"/>
  <c r="D267" i="30"/>
  <c r="E191" i="30"/>
  <c r="D191" i="30"/>
  <c r="E92" i="30"/>
  <c r="D92" i="30"/>
  <c r="D68" i="30"/>
  <c r="D43" i="30"/>
  <c r="F43" i="30"/>
  <c r="D7" i="30"/>
  <c r="F226" i="30"/>
  <c r="E471" i="30"/>
  <c r="D300" i="30"/>
  <c r="D244" i="30"/>
  <c r="F244" i="30"/>
  <c r="E6" i="30"/>
  <c r="D481" i="30"/>
  <c r="F356" i="30"/>
  <c r="D478" i="30"/>
  <c r="D477" i="30"/>
  <c r="F180" i="30"/>
  <c r="F150" i="30"/>
  <c r="F68" i="30"/>
  <c r="F435" i="30"/>
  <c r="E457" i="30"/>
  <c r="E455" i="30"/>
  <c r="F267" i="30"/>
  <c r="D377" i="30"/>
  <c r="E133" i="30"/>
  <c r="E377" i="30"/>
  <c r="E300" i="30"/>
  <c r="E480" i="30"/>
  <c r="E487" i="30"/>
  <c r="F92" i="30"/>
  <c r="D473" i="30"/>
  <c r="F416" i="30"/>
  <c r="D469" i="30"/>
  <c r="D461" i="30"/>
  <c r="F393" i="30"/>
  <c r="D472" i="30"/>
  <c r="F335" i="30"/>
  <c r="D6" i="30"/>
  <c r="F7" i="30"/>
  <c r="D133" i="30"/>
  <c r="F191" i="30"/>
  <c r="F300" i="30"/>
  <c r="F6" i="30"/>
  <c r="F377" i="30"/>
  <c r="F133" i="30"/>
  <c r="E296" i="30"/>
  <c r="D471" i="30"/>
  <c r="D457" i="30"/>
  <c r="G35" i="19"/>
  <c r="N8" i="19"/>
  <c r="N8" i="20"/>
  <c r="G23" i="19"/>
  <c r="G22" i="19"/>
  <c r="G21" i="19"/>
  <c r="G20" i="19"/>
  <c r="G19" i="19"/>
  <c r="G18" i="19"/>
  <c r="G17" i="19"/>
  <c r="G16" i="19"/>
  <c r="G10" i="19"/>
  <c r="G9" i="19"/>
  <c r="G8" i="19"/>
  <c r="G7" i="19"/>
  <c r="G6" i="19"/>
  <c r="N13" i="4"/>
  <c r="G13" i="20"/>
  <c r="N11" i="4"/>
  <c r="G11" i="20"/>
  <c r="N8" i="4"/>
  <c r="G8" i="20"/>
  <c r="G42" i="4"/>
  <c r="G27" i="4"/>
  <c r="G26" i="4"/>
  <c r="G23" i="4"/>
  <c r="G25" i="4"/>
  <c r="G24" i="4"/>
  <c r="N13" i="13"/>
  <c r="N12" i="13"/>
  <c r="N13" i="22"/>
  <c r="N12" i="22"/>
  <c r="N11" i="22"/>
  <c r="G70" i="13"/>
  <c r="E70" i="13"/>
  <c r="G23" i="22"/>
  <c r="G43" i="12"/>
  <c r="G42" i="12"/>
  <c r="G41" i="12"/>
  <c r="G40" i="12"/>
  <c r="G39" i="12"/>
  <c r="G60" i="13"/>
  <c r="G56" i="13"/>
  <c r="G15" i="13"/>
  <c r="N17" i="13"/>
  <c r="G58" i="13"/>
  <c r="G63" i="13"/>
  <c r="G61" i="13"/>
  <c r="G57" i="13"/>
  <c r="G9" i="13"/>
  <c r="G6" i="13"/>
  <c r="G8" i="13"/>
  <c r="N10" i="14"/>
  <c r="N10" i="22"/>
  <c r="N11" i="14"/>
  <c r="G35" i="14"/>
  <c r="G32" i="14"/>
  <c r="G5" i="14"/>
  <c r="N9" i="23"/>
  <c r="N7" i="23"/>
  <c r="N33" i="22"/>
  <c r="N10" i="23"/>
  <c r="N10" i="3"/>
  <c r="G24" i="22"/>
  <c r="N11" i="3"/>
  <c r="N12" i="3"/>
  <c r="N13" i="3"/>
  <c r="G43" i="3"/>
  <c r="G42" i="3"/>
  <c r="G19" i="3"/>
  <c r="G18" i="3"/>
  <c r="G17" i="3"/>
  <c r="G16" i="3"/>
  <c r="G8" i="3"/>
  <c r="G12" i="22"/>
  <c r="G13" i="22"/>
  <c r="N20" i="12"/>
  <c r="G10" i="22"/>
  <c r="N19" i="12"/>
  <c r="N18" i="12"/>
  <c r="N17" i="12"/>
  <c r="N11" i="12"/>
  <c r="G11" i="22"/>
  <c r="N10" i="12"/>
  <c r="N9" i="12"/>
  <c r="G9" i="22"/>
  <c r="N8" i="12"/>
  <c r="G8" i="22"/>
  <c r="N7" i="12"/>
  <c r="G7" i="22"/>
  <c r="G35" i="12"/>
  <c r="G34" i="12"/>
  <c r="G33" i="12"/>
  <c r="G32" i="12"/>
  <c r="G31" i="12"/>
  <c r="G22" i="12"/>
  <c r="G21" i="12"/>
  <c r="G20" i="12"/>
  <c r="G18" i="12"/>
  <c r="G17" i="12"/>
  <c r="G14" i="12"/>
  <c r="G447" i="30"/>
  <c r="G69" i="19"/>
  <c r="E69" i="19"/>
  <c r="G16" i="4"/>
  <c r="G15" i="4"/>
  <c r="N6" i="4"/>
  <c r="G6" i="20"/>
  <c r="G7" i="4"/>
  <c r="G6" i="4"/>
  <c r="G134" i="30"/>
  <c r="G354" i="30"/>
  <c r="G475" i="30"/>
  <c r="F475" i="30"/>
  <c r="K19" i="13"/>
  <c r="J19" i="13"/>
  <c r="G278" i="30"/>
  <c r="G268" i="30"/>
  <c r="G6" i="23"/>
  <c r="E12" i="23"/>
  <c r="E23" i="12"/>
  <c r="G169" i="30"/>
  <c r="G336" i="30"/>
  <c r="G41" i="4"/>
  <c r="G289" i="30"/>
  <c r="G215" i="30"/>
  <c r="G212" i="30"/>
  <c r="G67" i="13"/>
  <c r="G61" i="30"/>
  <c r="G13" i="12"/>
  <c r="G49" i="30"/>
  <c r="G28" i="12"/>
  <c r="G44" i="30"/>
  <c r="G27" i="12"/>
  <c r="E63" i="13"/>
  <c r="E8" i="13"/>
  <c r="F28" i="28"/>
  <c r="F29" i="28"/>
  <c r="E77" i="19"/>
  <c r="E76" i="19"/>
  <c r="E75" i="19"/>
  <c r="E74" i="19"/>
  <c r="E68" i="19"/>
  <c r="E67" i="19"/>
  <c r="E66" i="19"/>
  <c r="E65" i="19"/>
  <c r="E64" i="19"/>
  <c r="E63" i="19"/>
  <c r="E62" i="19"/>
  <c r="E57" i="19"/>
  <c r="E56" i="19"/>
  <c r="E52" i="19"/>
  <c r="E49" i="19"/>
  <c r="E48" i="19"/>
  <c r="E47" i="19"/>
  <c r="E42" i="19"/>
  <c r="E41" i="19"/>
  <c r="E40" i="19"/>
  <c r="E39" i="19"/>
  <c r="E38" i="19"/>
  <c r="E37" i="19"/>
  <c r="E36" i="19"/>
  <c r="E23" i="19"/>
  <c r="E22" i="19"/>
  <c r="E21" i="19"/>
  <c r="E20" i="19"/>
  <c r="E19" i="19"/>
  <c r="E18" i="19"/>
  <c r="E17" i="19"/>
  <c r="E16" i="19"/>
  <c r="E10" i="19"/>
  <c r="E9" i="19"/>
  <c r="E8" i="19"/>
  <c r="E7" i="19"/>
  <c r="E6" i="19"/>
  <c r="E71" i="4"/>
  <c r="E70" i="4"/>
  <c r="E69" i="4"/>
  <c r="E68" i="4"/>
  <c r="E67" i="4"/>
  <c r="E66" i="4"/>
  <c r="E63" i="4"/>
  <c r="E62" i="4"/>
  <c r="E61" i="4"/>
  <c r="E60" i="4"/>
  <c r="E59" i="4"/>
  <c r="E58" i="4"/>
  <c r="E57" i="4"/>
  <c r="E56" i="4"/>
  <c r="E55" i="4"/>
  <c r="E50" i="4"/>
  <c r="E44" i="4"/>
  <c r="E43" i="4"/>
  <c r="E42" i="4"/>
  <c r="E38" i="4"/>
  <c r="E34" i="4"/>
  <c r="E33" i="4"/>
  <c r="E32" i="4"/>
  <c r="E27" i="4"/>
  <c r="E26" i="4"/>
  <c r="E25" i="4"/>
  <c r="E24" i="4"/>
  <c r="E23" i="4"/>
  <c r="E18" i="4"/>
  <c r="E17" i="4"/>
  <c r="E16" i="4"/>
  <c r="E12" i="4"/>
  <c r="E11" i="4"/>
  <c r="E10" i="4"/>
  <c r="E9" i="4"/>
  <c r="E8" i="4"/>
  <c r="E7" i="4"/>
  <c r="E6" i="4"/>
  <c r="E61" i="13"/>
  <c r="E58" i="13"/>
  <c r="E57" i="13"/>
  <c r="E9" i="13"/>
  <c r="E6" i="13"/>
  <c r="E38" i="14"/>
  <c r="E35" i="14"/>
  <c r="E32" i="14"/>
  <c r="E22" i="14"/>
  <c r="E41" i="12"/>
  <c r="E40" i="12"/>
  <c r="E35" i="12"/>
  <c r="E34" i="12"/>
  <c r="E33" i="12"/>
  <c r="E32" i="12"/>
  <c r="E31" i="12"/>
  <c r="E39" i="12"/>
  <c r="E43" i="12"/>
  <c r="E42" i="12"/>
  <c r="E43" i="3"/>
  <c r="E42" i="3"/>
  <c r="E19" i="3"/>
  <c r="E18" i="3"/>
  <c r="E17" i="3"/>
  <c r="E16" i="3"/>
  <c r="E8" i="3"/>
  <c r="E22" i="12"/>
  <c r="E21" i="12"/>
  <c r="E20" i="12"/>
  <c r="E18" i="12"/>
  <c r="E17" i="12"/>
  <c r="E14" i="12"/>
  <c r="G484" i="30"/>
  <c r="F458" i="30"/>
  <c r="G458" i="30"/>
  <c r="G450" i="30"/>
  <c r="G483" i="30"/>
  <c r="F483" i="30"/>
  <c r="G436" i="30"/>
  <c r="G61" i="19"/>
  <c r="G432" i="30"/>
  <c r="G476" i="30"/>
  <c r="G474" i="30"/>
  <c r="F476" i="30"/>
  <c r="G428" i="30"/>
  <c r="G51" i="19"/>
  <c r="E51" i="19"/>
  <c r="G425" i="30"/>
  <c r="G50" i="19"/>
  <c r="E50" i="19"/>
  <c r="E46" i="19"/>
  <c r="G417" i="30"/>
  <c r="G46" i="19"/>
  <c r="F484" i="30"/>
  <c r="F470" i="30"/>
  <c r="G408" i="30"/>
  <c r="G470" i="30"/>
  <c r="G402" i="30"/>
  <c r="G27" i="19"/>
  <c r="E27" i="19"/>
  <c r="G394" i="30"/>
  <c r="G26" i="19"/>
  <c r="E26" i="19"/>
  <c r="G384" i="30"/>
  <c r="G468" i="30"/>
  <c r="G378" i="30"/>
  <c r="G467" i="30"/>
  <c r="F467" i="30"/>
  <c r="G370" i="30"/>
  <c r="G482" i="30"/>
  <c r="F482" i="30"/>
  <c r="F478" i="30"/>
  <c r="G357" i="30"/>
  <c r="G351" i="30"/>
  <c r="G47" i="4"/>
  <c r="E47" i="4"/>
  <c r="E46" i="4"/>
  <c r="G348" i="30"/>
  <c r="G46" i="4"/>
  <c r="G344" i="30"/>
  <c r="G45" i="4"/>
  <c r="E45" i="4"/>
  <c r="G329" i="30"/>
  <c r="E37" i="4"/>
  <c r="G324" i="30"/>
  <c r="G465" i="30"/>
  <c r="F465" i="30"/>
  <c r="G314" i="30"/>
  <c r="G313" i="30"/>
  <c r="G464" i="30"/>
  <c r="E22" i="4"/>
  <c r="G309" i="30"/>
  <c r="G463" i="30"/>
  <c r="F463" i="30"/>
  <c r="G301" i="30"/>
  <c r="G462" i="30"/>
  <c r="F462" i="30"/>
  <c r="E18" i="23"/>
  <c r="G287" i="30"/>
  <c r="G15" i="23"/>
  <c r="E15" i="23"/>
  <c r="G285" i="30"/>
  <c r="G14" i="23"/>
  <c r="E14" i="23"/>
  <c r="G282" i="30"/>
  <c r="G13" i="23"/>
  <c r="E13" i="23"/>
  <c r="G276" i="30"/>
  <c r="G9" i="23"/>
  <c r="E9" i="23"/>
  <c r="G274" i="30"/>
  <c r="G8" i="23"/>
  <c r="E8" i="23"/>
  <c r="G270" i="30"/>
  <c r="G7" i="23"/>
  <c r="E7" i="23"/>
  <c r="E6" i="23"/>
  <c r="G264" i="30"/>
  <c r="G32" i="3"/>
  <c r="E32" i="3"/>
  <c r="G261" i="30"/>
  <c r="G33" i="3"/>
  <c r="E33" i="3"/>
  <c r="G258" i="30"/>
  <c r="G255" i="30"/>
  <c r="G31" i="3"/>
  <c r="E31" i="3"/>
  <c r="G252" i="30"/>
  <c r="G30" i="3"/>
  <c r="E30" i="3"/>
  <c r="G249" i="30"/>
  <c r="G29" i="3"/>
  <c r="E29" i="3"/>
  <c r="G245" i="30"/>
  <c r="G28" i="3"/>
  <c r="E28" i="3"/>
  <c r="G238" i="30"/>
  <c r="G235" i="30"/>
  <c r="G227" i="30"/>
  <c r="G223" i="30"/>
  <c r="G69" i="13"/>
  <c r="E69" i="13"/>
  <c r="E68" i="13"/>
  <c r="G221" i="30"/>
  <c r="G68" i="13"/>
  <c r="E67" i="13"/>
  <c r="G208" i="30"/>
  <c r="G66" i="13"/>
  <c r="G204" i="30"/>
  <c r="G37" i="3"/>
  <c r="G200" i="30"/>
  <c r="G196" i="30"/>
  <c r="G23" i="3"/>
  <c r="E23" i="3"/>
  <c r="G192" i="30"/>
  <c r="G10" i="13"/>
  <c r="G187" i="30"/>
  <c r="G28" i="13"/>
  <c r="G184" i="30"/>
  <c r="G22" i="3"/>
  <c r="E26" i="13"/>
  <c r="G181" i="30"/>
  <c r="G26" i="13"/>
  <c r="G177" i="30"/>
  <c r="G21" i="3"/>
  <c r="E21" i="3"/>
  <c r="G157" i="30"/>
  <c r="G145" i="30"/>
  <c r="G140" i="30"/>
  <c r="G126" i="30"/>
  <c r="G13" i="3"/>
  <c r="E13" i="3"/>
  <c r="G123" i="30"/>
  <c r="G12" i="3"/>
  <c r="E12" i="3"/>
  <c r="E11" i="3"/>
  <c r="G119" i="30"/>
  <c r="G11" i="3"/>
  <c r="G115" i="30"/>
  <c r="G10" i="3"/>
  <c r="E10" i="3"/>
  <c r="G112" i="30"/>
  <c r="G9" i="3"/>
  <c r="E9" i="3"/>
  <c r="G108" i="30"/>
  <c r="G105" i="30"/>
  <c r="G7" i="3"/>
  <c r="E7" i="3"/>
  <c r="G99" i="30"/>
  <c r="G93" i="30"/>
  <c r="E6" i="3"/>
  <c r="G86" i="30"/>
  <c r="G83" i="30"/>
  <c r="G36" i="12"/>
  <c r="E36" i="12"/>
  <c r="G77" i="30"/>
  <c r="G23" i="12"/>
  <c r="G69" i="30"/>
  <c r="G15" i="12"/>
  <c r="G60" i="30"/>
  <c r="G54" i="30"/>
  <c r="E28" i="12"/>
  <c r="E27" i="12"/>
  <c r="G38" i="30"/>
  <c r="G35" i="30"/>
  <c r="G32" i="30"/>
  <c r="G11" i="12"/>
  <c r="E11" i="12"/>
  <c r="G29" i="30"/>
  <c r="G12" i="12"/>
  <c r="E12" i="12"/>
  <c r="G24" i="30"/>
  <c r="G10" i="12"/>
  <c r="E10" i="12"/>
  <c r="G21" i="30"/>
  <c r="G9" i="12"/>
  <c r="E9" i="12"/>
  <c r="G17" i="30"/>
  <c r="G8" i="12"/>
  <c r="E8" i="12"/>
  <c r="G13" i="30"/>
  <c r="G7" i="12"/>
  <c r="E7" i="12"/>
  <c r="G8" i="30"/>
  <c r="G6" i="12"/>
  <c r="G48" i="28"/>
  <c r="L48" i="28"/>
  <c r="G35" i="28"/>
  <c r="Y35" i="28"/>
  <c r="G37" i="28"/>
  <c r="L37" i="28"/>
  <c r="G39" i="28"/>
  <c r="L39" i="28"/>
  <c r="G40" i="28"/>
  <c r="L40" i="28"/>
  <c r="G42" i="28"/>
  <c r="L42" i="28"/>
  <c r="G43" i="28"/>
  <c r="L43" i="28"/>
  <c r="G44" i="28"/>
  <c r="L44" i="28"/>
  <c r="G45" i="28"/>
  <c r="L45" i="28"/>
  <c r="G46" i="28"/>
  <c r="L46" i="28"/>
  <c r="G47" i="28"/>
  <c r="L47" i="28"/>
  <c r="G50" i="28"/>
  <c r="L50" i="28"/>
  <c r="G51" i="28"/>
  <c r="L51" i="28"/>
  <c r="G52" i="28"/>
  <c r="L52" i="28"/>
  <c r="G53" i="28"/>
  <c r="G54" i="28"/>
  <c r="L54" i="28"/>
  <c r="G55" i="28"/>
  <c r="L55" i="28"/>
  <c r="G45" i="19"/>
  <c r="N9" i="19"/>
  <c r="D480" i="30"/>
  <c r="D487" i="30"/>
  <c r="G328" i="30"/>
  <c r="G466" i="30"/>
  <c r="G37" i="4"/>
  <c r="G36" i="4"/>
  <c r="N9" i="4"/>
  <c r="G9" i="20"/>
  <c r="G60" i="19"/>
  <c r="N11" i="19"/>
  <c r="N11" i="20"/>
  <c r="G356" i="30"/>
  <c r="G478" i="30"/>
  <c r="G54" i="4"/>
  <c r="G53" i="4"/>
  <c r="N12" i="4"/>
  <c r="G12" i="20"/>
  <c r="D455" i="30"/>
  <c r="F455" i="30"/>
  <c r="D296" i="30"/>
  <c r="F296" i="30"/>
  <c r="F298" i="30"/>
  <c r="N6" i="13"/>
  <c r="N20" i="22"/>
  <c r="N9" i="20"/>
  <c r="G25" i="19"/>
  <c r="N7" i="19"/>
  <c r="N7" i="20"/>
  <c r="G55" i="13"/>
  <c r="N10" i="13"/>
  <c r="N24" i="22"/>
  <c r="G15" i="19"/>
  <c r="N6" i="19"/>
  <c r="N6" i="20"/>
  <c r="G25" i="13"/>
  <c r="G5" i="19"/>
  <c r="N5" i="19"/>
  <c r="N5" i="20"/>
  <c r="G19" i="12"/>
  <c r="G16" i="12"/>
  <c r="G22" i="4"/>
  <c r="G21" i="4"/>
  <c r="N7" i="4"/>
  <c r="G7" i="20"/>
  <c r="G7" i="30"/>
  <c r="G6" i="3"/>
  <c r="G5" i="3"/>
  <c r="N5" i="3"/>
  <c r="G19" i="22"/>
  <c r="G12" i="23"/>
  <c r="G11" i="23"/>
  <c r="N6" i="23"/>
  <c r="N32" i="22"/>
  <c r="G5" i="4"/>
  <c r="N5" i="4"/>
  <c r="G5" i="20"/>
  <c r="G40" i="4"/>
  <c r="N10" i="4"/>
  <c r="G10" i="20"/>
  <c r="E25" i="13"/>
  <c r="G5" i="13"/>
  <c r="G65" i="13"/>
  <c r="G31" i="14"/>
  <c r="G4" i="14"/>
  <c r="G5" i="23"/>
  <c r="N5" i="23"/>
  <c r="G27" i="3"/>
  <c r="N18" i="3"/>
  <c r="G35" i="3"/>
  <c r="G40" i="3"/>
  <c r="G20" i="3"/>
  <c r="G5" i="12"/>
  <c r="H10" i="12"/>
  <c r="G393" i="30"/>
  <c r="G469" i="30"/>
  <c r="G416" i="30"/>
  <c r="G473" i="30"/>
  <c r="G435" i="30"/>
  <c r="G479" i="30"/>
  <c r="F479" i="30"/>
  <c r="F477" i="30"/>
  <c r="F473" i="30"/>
  <c r="F469" i="30"/>
  <c r="F466" i="30"/>
  <c r="G43" i="30"/>
  <c r="G68" i="30"/>
  <c r="G150" i="30"/>
  <c r="F464" i="30"/>
  <c r="G481" i="30"/>
  <c r="G92" i="30"/>
  <c r="G226" i="30"/>
  <c r="G25" i="3"/>
  <c r="G267" i="30"/>
  <c r="G335" i="30"/>
  <c r="G472" i="30"/>
  <c r="F474" i="30"/>
  <c r="G180" i="30"/>
  <c r="G244" i="30"/>
  <c r="G191" i="30"/>
  <c r="E61" i="19"/>
  <c r="E54" i="4"/>
  <c r="F472" i="30"/>
  <c r="E41" i="4"/>
  <c r="E15" i="12"/>
  <c r="E13" i="12"/>
  <c r="E19" i="12"/>
  <c r="E6" i="12"/>
  <c r="L53" i="28"/>
  <c r="E25" i="3"/>
  <c r="F481" i="30"/>
  <c r="F468" i="30"/>
  <c r="G49" i="28"/>
  <c r="L49" i="28"/>
  <c r="L35" i="28"/>
  <c r="C35" i="8"/>
  <c r="J9" i="3"/>
  <c r="C32" i="8"/>
  <c r="G24" i="8"/>
  <c r="F24" i="8"/>
  <c r="E24" i="8"/>
  <c r="D24" i="8"/>
  <c r="C24" i="8"/>
  <c r="G28" i="8"/>
  <c r="G29" i="8"/>
  <c r="G30" i="8"/>
  <c r="G31" i="8"/>
  <c r="E32" i="8"/>
  <c r="G32" i="8"/>
  <c r="E49" i="4"/>
  <c r="D24" i="22"/>
  <c r="D11" i="22"/>
  <c r="C11" i="22"/>
  <c r="D10" i="22"/>
  <c r="C10" i="22"/>
  <c r="C9" i="22"/>
  <c r="C12" i="22"/>
  <c r="C13" i="22"/>
  <c r="H22" i="8"/>
  <c r="G22" i="8"/>
  <c r="J4" i="22"/>
  <c r="D23" i="22"/>
  <c r="D22" i="22"/>
  <c r="D21" i="22"/>
  <c r="D20" i="22"/>
  <c r="D19" i="22"/>
  <c r="C24" i="22"/>
  <c r="C23" i="22"/>
  <c r="C22" i="22"/>
  <c r="C21" i="22"/>
  <c r="C20" i="22"/>
  <c r="C19" i="22"/>
  <c r="C18" i="22"/>
  <c r="D9" i="22"/>
  <c r="D8" i="22"/>
  <c r="D7" i="22"/>
  <c r="D6" i="22"/>
  <c r="D5" i="22"/>
  <c r="C8" i="22"/>
  <c r="C7" i="22"/>
  <c r="C6" i="22"/>
  <c r="C5" i="22"/>
  <c r="C4" i="22"/>
  <c r="J4" i="12"/>
  <c r="C19" i="8"/>
  <c r="J4" i="23"/>
  <c r="J30" i="22"/>
  <c r="K16" i="12"/>
  <c r="K18" i="3"/>
  <c r="J8" i="3"/>
  <c r="C31" i="8"/>
  <c r="J7" i="3"/>
  <c r="C30" i="8"/>
  <c r="J6" i="3"/>
  <c r="J17" i="3"/>
  <c r="J5" i="3"/>
  <c r="C28" i="8"/>
  <c r="G72" i="8"/>
  <c r="G64" i="8"/>
  <c r="G50" i="8"/>
  <c r="J4" i="3"/>
  <c r="C27" i="8"/>
  <c r="J4" i="20"/>
  <c r="C4" i="20"/>
  <c r="K5" i="19"/>
  <c r="K5" i="20"/>
  <c r="K6" i="19"/>
  <c r="D69" i="8"/>
  <c r="K7" i="19"/>
  <c r="D70" i="8"/>
  <c r="K8" i="19"/>
  <c r="K8" i="20"/>
  <c r="K9" i="19"/>
  <c r="K9" i="20"/>
  <c r="K10" i="19"/>
  <c r="K10" i="20"/>
  <c r="K11" i="19"/>
  <c r="H69" i="8"/>
  <c r="K12" i="19"/>
  <c r="K12" i="20"/>
  <c r="K13" i="20"/>
  <c r="G71" i="8"/>
  <c r="J12" i="19"/>
  <c r="J12" i="20"/>
  <c r="J11" i="19"/>
  <c r="G69" i="8"/>
  <c r="J10" i="19"/>
  <c r="J10" i="20"/>
  <c r="J9" i="19"/>
  <c r="C72" i="8"/>
  <c r="J8" i="19"/>
  <c r="J8" i="20"/>
  <c r="J7" i="19"/>
  <c r="C70" i="8"/>
  <c r="J6" i="19"/>
  <c r="J6" i="20"/>
  <c r="J5" i="19"/>
  <c r="C68" i="8"/>
  <c r="K5" i="4"/>
  <c r="D5" i="20"/>
  <c r="K6" i="4"/>
  <c r="D61" i="8"/>
  <c r="K7" i="4"/>
  <c r="D7" i="20"/>
  <c r="K8" i="4"/>
  <c r="D8" i="20"/>
  <c r="K9" i="4"/>
  <c r="D64" i="8"/>
  <c r="K10" i="4"/>
  <c r="H60" i="8"/>
  <c r="K11" i="4"/>
  <c r="D11" i="20"/>
  <c r="K12" i="4"/>
  <c r="H62" i="8"/>
  <c r="K13" i="4"/>
  <c r="D13" i="20"/>
  <c r="J13" i="4"/>
  <c r="G63" i="8"/>
  <c r="J12" i="4"/>
  <c r="C12" i="20"/>
  <c r="J11" i="4"/>
  <c r="C11" i="20"/>
  <c r="J10" i="4"/>
  <c r="C10" i="20"/>
  <c r="J9" i="4"/>
  <c r="C64" i="8"/>
  <c r="J8" i="4"/>
  <c r="C63" i="8"/>
  <c r="J7" i="4"/>
  <c r="C7" i="20"/>
  <c r="J6" i="4"/>
  <c r="C6" i="20"/>
  <c r="J5" i="4"/>
  <c r="C5" i="20"/>
  <c r="L11" i="12"/>
  <c r="I22" i="8"/>
  <c r="K5" i="23"/>
  <c r="K31" i="22"/>
  <c r="K6" i="23"/>
  <c r="H38" i="8"/>
  <c r="K7" i="23"/>
  <c r="K33" i="22"/>
  <c r="K8" i="23"/>
  <c r="K34" i="22"/>
  <c r="J8" i="23"/>
  <c r="G40" i="8"/>
  <c r="J7" i="23"/>
  <c r="G39" i="8"/>
  <c r="J6" i="23"/>
  <c r="G38" i="8"/>
  <c r="J5" i="23"/>
  <c r="G37" i="8"/>
  <c r="K14" i="14"/>
  <c r="K15" i="14"/>
  <c r="K16" i="14"/>
  <c r="K17" i="14"/>
  <c r="K18" i="14"/>
  <c r="J18" i="14"/>
  <c r="J17" i="14"/>
  <c r="J16" i="14"/>
  <c r="J15" i="14"/>
  <c r="J14" i="14"/>
  <c r="K5" i="14"/>
  <c r="K5" i="22"/>
  <c r="K6" i="14"/>
  <c r="K6" i="22"/>
  <c r="K7" i="14"/>
  <c r="D38" i="8"/>
  <c r="K8" i="14"/>
  <c r="D39" i="8"/>
  <c r="K9" i="14"/>
  <c r="D40" i="8"/>
  <c r="D41" i="8"/>
  <c r="C41" i="8"/>
  <c r="J9" i="14"/>
  <c r="C40" i="8"/>
  <c r="J8" i="14"/>
  <c r="C39" i="8"/>
  <c r="J7" i="14"/>
  <c r="C38" i="8"/>
  <c r="J6" i="14"/>
  <c r="J6" i="22"/>
  <c r="J5" i="14"/>
  <c r="C36" i="8"/>
  <c r="K16" i="13"/>
  <c r="K17" i="13"/>
  <c r="K18" i="13"/>
  <c r="K20" i="13"/>
  <c r="J20" i="13"/>
  <c r="J18" i="13"/>
  <c r="J17" i="13"/>
  <c r="J16" i="13"/>
  <c r="J4" i="13"/>
  <c r="J18" i="22"/>
  <c r="K5" i="13"/>
  <c r="K19" i="22"/>
  <c r="K6" i="13"/>
  <c r="D47" i="8"/>
  <c r="K7" i="13"/>
  <c r="D48" i="8"/>
  <c r="K8" i="13"/>
  <c r="D49" i="8"/>
  <c r="K9" i="13"/>
  <c r="D50" i="8"/>
  <c r="K10" i="13"/>
  <c r="K24" i="22"/>
  <c r="K11" i="13"/>
  <c r="K25" i="22"/>
  <c r="K12" i="22"/>
  <c r="H49" i="8"/>
  <c r="G49" i="8"/>
  <c r="J12" i="22"/>
  <c r="J11" i="13"/>
  <c r="J25" i="22"/>
  <c r="J10" i="13"/>
  <c r="J24" i="22"/>
  <c r="J9" i="13"/>
  <c r="C50" i="8"/>
  <c r="J8" i="13"/>
  <c r="C49" i="8"/>
  <c r="J7" i="13"/>
  <c r="C48" i="8"/>
  <c r="J6" i="13"/>
  <c r="J20" i="22"/>
  <c r="J5" i="13"/>
  <c r="C46" i="8"/>
  <c r="K20" i="12"/>
  <c r="J20" i="12"/>
  <c r="K19" i="12"/>
  <c r="J19" i="12"/>
  <c r="K18" i="12"/>
  <c r="J18" i="12"/>
  <c r="K17" i="12"/>
  <c r="J17" i="12"/>
  <c r="J16" i="12"/>
  <c r="K15" i="12"/>
  <c r="J15" i="12"/>
  <c r="G477" i="30"/>
  <c r="G22" i="20"/>
  <c r="G23" i="20"/>
  <c r="G471" i="30"/>
  <c r="N14" i="20"/>
  <c r="G18" i="20"/>
  <c r="N16" i="19"/>
  <c r="G21" i="20"/>
  <c r="G14" i="20"/>
  <c r="G17" i="20"/>
  <c r="N8" i="14"/>
  <c r="N8" i="22"/>
  <c r="H13" i="12"/>
  <c r="G4" i="19"/>
  <c r="N16" i="12"/>
  <c r="N6" i="12"/>
  <c r="G6" i="22"/>
  <c r="N17" i="14"/>
  <c r="N23" i="14"/>
  <c r="G133" i="30"/>
  <c r="G15" i="3"/>
  <c r="N17" i="3"/>
  <c r="N31" i="22"/>
  <c r="H12" i="12"/>
  <c r="N7" i="13"/>
  <c r="N21" i="22"/>
  <c r="N18" i="13"/>
  <c r="C13" i="20"/>
  <c r="G4" i="4"/>
  <c r="N16" i="4"/>
  <c r="N11" i="13"/>
  <c r="N25" i="22"/>
  <c r="G4" i="13"/>
  <c r="L28" i="13"/>
  <c r="N16" i="13"/>
  <c r="N5" i="13"/>
  <c r="N8" i="3"/>
  <c r="G22" i="22"/>
  <c r="J65" i="13"/>
  <c r="C37" i="8"/>
  <c r="K7" i="22"/>
  <c r="N7" i="3"/>
  <c r="G21" i="22"/>
  <c r="N16" i="3"/>
  <c r="H14" i="12"/>
  <c r="H11" i="12"/>
  <c r="G4" i="12"/>
  <c r="N5" i="12"/>
  <c r="H8" i="12"/>
  <c r="H6" i="12"/>
  <c r="H7" i="12"/>
  <c r="N15" i="12"/>
  <c r="H9" i="12"/>
  <c r="H15" i="12"/>
  <c r="G461" i="30"/>
  <c r="G457" i="30"/>
  <c r="G6" i="30"/>
  <c r="F461" i="30"/>
  <c r="G300" i="30"/>
  <c r="G377" i="30"/>
  <c r="F471" i="30"/>
  <c r="J9" i="20"/>
  <c r="C71" i="8"/>
  <c r="H68" i="8"/>
  <c r="J11" i="20"/>
  <c r="C9" i="20"/>
  <c r="D62" i="8"/>
  <c r="C61" i="8"/>
  <c r="D63" i="8"/>
  <c r="C62" i="8"/>
  <c r="D60" i="8"/>
  <c r="C60" i="8"/>
  <c r="J21" i="22"/>
  <c r="J22" i="22"/>
  <c r="J23" i="22"/>
  <c r="H46" i="8"/>
  <c r="G46" i="8"/>
  <c r="J19" i="22"/>
  <c r="C45" i="8"/>
  <c r="H48" i="8"/>
  <c r="K23" i="22"/>
  <c r="G48" i="8"/>
  <c r="G47" i="8"/>
  <c r="J8" i="22"/>
  <c r="J9" i="22"/>
  <c r="D37" i="8"/>
  <c r="D36" i="8"/>
  <c r="J7" i="22"/>
  <c r="K8" i="22"/>
  <c r="K9" i="22"/>
  <c r="J5" i="22"/>
  <c r="J34" i="22"/>
  <c r="K32" i="22"/>
  <c r="H37" i="8"/>
  <c r="G35" i="8"/>
  <c r="H39" i="8"/>
  <c r="H40" i="8"/>
  <c r="G41" i="8"/>
  <c r="H41" i="8"/>
  <c r="C29" i="8"/>
  <c r="E65" i="4"/>
  <c r="E31" i="4"/>
  <c r="E36" i="4"/>
  <c r="E21" i="4"/>
  <c r="E40" i="4"/>
  <c r="E15" i="4"/>
  <c r="E30" i="12"/>
  <c r="E5" i="4"/>
  <c r="E40" i="3"/>
  <c r="J16" i="3"/>
  <c r="J18" i="3"/>
  <c r="E53" i="4"/>
  <c r="J13" i="22"/>
  <c r="K13" i="22"/>
  <c r="H47" i="8"/>
  <c r="K22" i="22"/>
  <c r="K21" i="22"/>
  <c r="K20" i="22"/>
  <c r="H70" i="8"/>
  <c r="G68" i="8"/>
  <c r="J5" i="20"/>
  <c r="J13" i="20"/>
  <c r="J7" i="20"/>
  <c r="K7" i="20"/>
  <c r="C69" i="8"/>
  <c r="K6" i="20"/>
  <c r="H71" i="8"/>
  <c r="G70" i="8"/>
  <c r="K11" i="20"/>
  <c r="D72" i="8"/>
  <c r="D71" i="8"/>
  <c r="D68" i="8"/>
  <c r="H63" i="8"/>
  <c r="G62" i="8"/>
  <c r="G61" i="8"/>
  <c r="C8" i="20"/>
  <c r="G60" i="8"/>
  <c r="D12" i="20"/>
  <c r="H61" i="8"/>
  <c r="D10" i="20"/>
  <c r="D9" i="20"/>
  <c r="D6" i="20"/>
  <c r="C47" i="8"/>
  <c r="D46" i="8"/>
  <c r="J33" i="22"/>
  <c r="J32" i="22"/>
  <c r="J31" i="22"/>
  <c r="H23" i="8"/>
  <c r="G23" i="8"/>
  <c r="K10" i="12"/>
  <c r="H21" i="8"/>
  <c r="J10" i="12"/>
  <c r="G21" i="8"/>
  <c r="K9" i="12"/>
  <c r="H20" i="8"/>
  <c r="J9" i="12"/>
  <c r="G20" i="8"/>
  <c r="K8" i="12"/>
  <c r="D23" i="8"/>
  <c r="J8" i="12"/>
  <c r="C23" i="8"/>
  <c r="K7" i="12"/>
  <c r="D22" i="8"/>
  <c r="J7" i="12"/>
  <c r="C22" i="8"/>
  <c r="K6" i="12"/>
  <c r="D21" i="8"/>
  <c r="J6" i="12"/>
  <c r="C21" i="8"/>
  <c r="K5" i="12"/>
  <c r="D20" i="8"/>
  <c r="J5" i="12"/>
  <c r="C20" i="8"/>
  <c r="H31" i="8"/>
  <c r="H30" i="8"/>
  <c r="H29" i="8"/>
  <c r="H28" i="8"/>
  <c r="K9" i="3"/>
  <c r="D32" i="8"/>
  <c r="K8" i="3"/>
  <c r="D31" i="8"/>
  <c r="K7" i="3"/>
  <c r="D30" i="8"/>
  <c r="K6" i="3"/>
  <c r="K5" i="3"/>
  <c r="G24" i="20"/>
  <c r="G26" i="20"/>
  <c r="F457" i="30"/>
  <c r="N21" i="12"/>
  <c r="O19" i="12"/>
  <c r="G19" i="20"/>
  <c r="Q5" i="12"/>
  <c r="O9" i="12"/>
  <c r="N19" i="3"/>
  <c r="G4" i="3"/>
  <c r="N6" i="3"/>
  <c r="N22" i="3"/>
  <c r="N19" i="22"/>
  <c r="N24" i="12"/>
  <c r="G5" i="22"/>
  <c r="G14" i="22"/>
  <c r="F480" i="30"/>
  <c r="F487" i="30"/>
  <c r="G480" i="30"/>
  <c r="G487" i="30"/>
  <c r="G455" i="30"/>
  <c r="K17" i="3"/>
  <c r="D29" i="8"/>
  <c r="E20" i="3"/>
  <c r="K16" i="3"/>
  <c r="D28" i="8"/>
  <c r="E60" i="19"/>
  <c r="D13" i="22"/>
  <c r="D12" i="22"/>
  <c r="E15" i="13"/>
  <c r="E35" i="13"/>
  <c r="E45" i="13"/>
  <c r="E55" i="13"/>
  <c r="E65" i="13"/>
  <c r="L12" i="13"/>
  <c r="F7" i="4"/>
  <c r="F17" i="4"/>
  <c r="L7" i="4"/>
  <c r="E7" i="20"/>
  <c r="L9" i="4"/>
  <c r="E9" i="20"/>
  <c r="F44" i="4"/>
  <c r="F68" i="4"/>
  <c r="E5" i="3"/>
  <c r="E27" i="3"/>
  <c r="E35" i="3"/>
  <c r="L10" i="3"/>
  <c r="L13" i="13"/>
  <c r="E5" i="14"/>
  <c r="E11" i="14"/>
  <c r="N6" i="14"/>
  <c r="N6" i="22"/>
  <c r="E21" i="14"/>
  <c r="E31" i="14"/>
  <c r="E37" i="14"/>
  <c r="N9" i="14"/>
  <c r="N9" i="22"/>
  <c r="L10" i="14"/>
  <c r="L11" i="14"/>
  <c r="E5" i="23"/>
  <c r="E11" i="23"/>
  <c r="E17" i="23"/>
  <c r="F173" i="23"/>
  <c r="F172" i="23"/>
  <c r="F171" i="23"/>
  <c r="F170" i="23"/>
  <c r="E5" i="12"/>
  <c r="E16" i="12"/>
  <c r="E26" i="12"/>
  <c r="E38" i="12"/>
  <c r="E13" i="22"/>
  <c r="E5" i="19"/>
  <c r="L5" i="19"/>
  <c r="D11" i="16"/>
  <c r="E15" i="19"/>
  <c r="L6" i="19"/>
  <c r="E69" i="8"/>
  <c r="E25" i="19"/>
  <c r="F27" i="19"/>
  <c r="E35" i="19"/>
  <c r="L8" i="19"/>
  <c r="L8" i="20"/>
  <c r="E45" i="19"/>
  <c r="E55" i="19"/>
  <c r="L10" i="19"/>
  <c r="L10" i="20"/>
  <c r="E73" i="19"/>
  <c r="F76" i="19"/>
  <c r="L13" i="19"/>
  <c r="L39" i="6"/>
  <c r="L38" i="6"/>
  <c r="L37" i="6"/>
  <c r="L36" i="6"/>
  <c r="F66" i="4"/>
  <c r="L19" i="13"/>
  <c r="M19" i="13"/>
  <c r="E10" i="13"/>
  <c r="E5" i="13"/>
  <c r="O16" i="12"/>
  <c r="O20" i="12"/>
  <c r="O15" i="12"/>
  <c r="O18" i="12"/>
  <c r="O17" i="12"/>
  <c r="N20" i="13"/>
  <c r="N9" i="13"/>
  <c r="N23" i="22"/>
  <c r="N8" i="13"/>
  <c r="N19" i="13"/>
  <c r="N22" i="13"/>
  <c r="E4" i="14"/>
  <c r="O7" i="12"/>
  <c r="O6" i="12"/>
  <c r="O8" i="12"/>
  <c r="O5" i="12"/>
  <c r="O11" i="12"/>
  <c r="O10" i="12"/>
  <c r="G20" i="22"/>
  <c r="G32" i="22"/>
  <c r="G34" i="22"/>
  <c r="G16" i="22"/>
  <c r="N5" i="14"/>
  <c r="N5" i="22"/>
  <c r="N7" i="14"/>
  <c r="N7" i="22"/>
  <c r="N14" i="22"/>
  <c r="N16" i="22"/>
  <c r="E4" i="12"/>
  <c r="M37" i="6"/>
  <c r="I456" i="30"/>
  <c r="I457" i="30"/>
  <c r="G296" i="30"/>
  <c r="G298" i="30"/>
  <c r="I49" i="8"/>
  <c r="F68" i="13"/>
  <c r="L10" i="13"/>
  <c r="I46" i="8"/>
  <c r="F30" i="13"/>
  <c r="F48" i="13"/>
  <c r="L8" i="13"/>
  <c r="L22" i="22"/>
  <c r="F17" i="14"/>
  <c r="L5" i="14"/>
  <c r="L10" i="22"/>
  <c r="E41" i="8"/>
  <c r="F40" i="14"/>
  <c r="F20" i="14"/>
  <c r="L14" i="14"/>
  <c r="L6" i="13"/>
  <c r="L20" i="22"/>
  <c r="E24" i="22"/>
  <c r="I28" i="8"/>
  <c r="E12" i="22"/>
  <c r="I23" i="8"/>
  <c r="L9" i="12"/>
  <c r="E9" i="22"/>
  <c r="L6" i="12"/>
  <c r="E6" i="22"/>
  <c r="F21" i="23"/>
  <c r="F166" i="14"/>
  <c r="E15" i="3"/>
  <c r="E4" i="3"/>
  <c r="L7" i="14"/>
  <c r="F37" i="3"/>
  <c r="F48" i="19"/>
  <c r="F52" i="19"/>
  <c r="L11" i="4"/>
  <c r="E11" i="20"/>
  <c r="F34" i="4"/>
  <c r="F38" i="14"/>
  <c r="F29" i="14"/>
  <c r="F28" i="14"/>
  <c r="L16" i="14"/>
  <c r="F23" i="14"/>
  <c r="F24" i="14"/>
  <c r="F30" i="14"/>
  <c r="F26" i="14"/>
  <c r="F22" i="14"/>
  <c r="F27" i="14"/>
  <c r="F25" i="14"/>
  <c r="L7" i="3"/>
  <c r="L18" i="3"/>
  <c r="F6" i="3"/>
  <c r="L16" i="3"/>
  <c r="L10" i="12"/>
  <c r="I21" i="8"/>
  <c r="F27" i="12"/>
  <c r="F37" i="12"/>
  <c r="F28" i="12"/>
  <c r="L5" i="12"/>
  <c r="F46" i="4"/>
  <c r="F43" i="4"/>
  <c r="F30" i="4"/>
  <c r="F23" i="4"/>
  <c r="F27" i="4"/>
  <c r="F22" i="4"/>
  <c r="F28" i="4"/>
  <c r="F25" i="4"/>
  <c r="F29" i="4"/>
  <c r="F49" i="19"/>
  <c r="F47" i="19"/>
  <c r="F24" i="19"/>
  <c r="F19" i="19"/>
  <c r="F22" i="19"/>
  <c r="L12" i="4"/>
  <c r="E12" i="20"/>
  <c r="F62" i="4"/>
  <c r="F61" i="4"/>
  <c r="F51" i="4"/>
  <c r="F36" i="12"/>
  <c r="L11" i="3"/>
  <c r="F10" i="23"/>
  <c r="L11" i="22"/>
  <c r="L20" i="14"/>
  <c r="F73" i="13"/>
  <c r="F63" i="13"/>
  <c r="F62" i="13"/>
  <c r="F57" i="13"/>
  <c r="F52" i="13"/>
  <c r="F51" i="13"/>
  <c r="F47" i="13"/>
  <c r="L9" i="13"/>
  <c r="L23" i="22"/>
  <c r="L20" i="13"/>
  <c r="F46" i="13"/>
  <c r="F53" i="13"/>
  <c r="F50" i="13"/>
  <c r="F54" i="13"/>
  <c r="F49" i="13"/>
  <c r="F32" i="13"/>
  <c r="L15" i="12"/>
  <c r="F10" i="12"/>
  <c r="F36" i="3"/>
  <c r="F39" i="3"/>
  <c r="F28" i="3"/>
  <c r="F34" i="19"/>
  <c r="F51" i="19"/>
  <c r="F54" i="19"/>
  <c r="L9" i="19"/>
  <c r="L9" i="20"/>
  <c r="F50" i="19"/>
  <c r="F53" i="19"/>
  <c r="F36" i="19"/>
  <c r="F44" i="19"/>
  <c r="F38" i="19"/>
  <c r="E71" i="8"/>
  <c r="F43" i="19"/>
  <c r="F37" i="19"/>
  <c r="F7" i="19"/>
  <c r="F18" i="19"/>
  <c r="F23" i="19"/>
  <c r="L6" i="20"/>
  <c r="F6" i="19"/>
  <c r="F58" i="4"/>
  <c r="F63" i="4"/>
  <c r="F18" i="13"/>
  <c r="F16" i="13"/>
  <c r="L17" i="13"/>
  <c r="F23" i="13"/>
  <c r="F40" i="13"/>
  <c r="F44" i="13"/>
  <c r="F46" i="19"/>
  <c r="F20" i="19"/>
  <c r="F16" i="19"/>
  <c r="F17" i="19"/>
  <c r="F10" i="19"/>
  <c r="F40" i="19"/>
  <c r="F11" i="19"/>
  <c r="F39" i="19"/>
  <c r="F21" i="19"/>
  <c r="F42" i="19"/>
  <c r="F55" i="4"/>
  <c r="F57" i="4"/>
  <c r="L8" i="4"/>
  <c r="E8" i="20"/>
  <c r="F50" i="4"/>
  <c r="F52" i="4"/>
  <c r="F54" i="4"/>
  <c r="F33" i="4"/>
  <c r="F24" i="4"/>
  <c r="F26" i="4"/>
  <c r="F35" i="4"/>
  <c r="F32" i="4"/>
  <c r="F60" i="4"/>
  <c r="F48" i="4"/>
  <c r="L6" i="4"/>
  <c r="E6" i="20"/>
  <c r="F22" i="23"/>
  <c r="F18" i="23"/>
  <c r="F15" i="14"/>
  <c r="F16" i="14"/>
  <c r="F7" i="14"/>
  <c r="F13" i="14"/>
  <c r="L26" i="14"/>
  <c r="F10" i="14"/>
  <c r="F8" i="14"/>
  <c r="L19" i="14"/>
  <c r="F43" i="13"/>
  <c r="F39" i="13"/>
  <c r="F42" i="13"/>
  <c r="F38" i="13"/>
  <c r="F69" i="13"/>
  <c r="F19" i="13"/>
  <c r="F36" i="13"/>
  <c r="F41" i="13"/>
  <c r="F37" i="13"/>
  <c r="F58" i="13"/>
  <c r="F7" i="12"/>
  <c r="F39" i="12"/>
  <c r="F43" i="12"/>
  <c r="F11" i="12"/>
  <c r="F41" i="12"/>
  <c r="F40" i="12"/>
  <c r="F13" i="12"/>
  <c r="F8" i="12"/>
  <c r="F42" i="12"/>
  <c r="F15" i="12"/>
  <c r="F12" i="12"/>
  <c r="F44" i="12"/>
  <c r="F9" i="12"/>
  <c r="F6" i="12"/>
  <c r="F17" i="12"/>
  <c r="F19" i="12"/>
  <c r="F25" i="12"/>
  <c r="F20" i="12"/>
  <c r="F31" i="3"/>
  <c r="F34" i="3"/>
  <c r="F33" i="3"/>
  <c r="F32" i="3"/>
  <c r="F29" i="3"/>
  <c r="F30" i="3"/>
  <c r="F14" i="3"/>
  <c r="F41" i="4"/>
  <c r="F19" i="4"/>
  <c r="F16" i="4"/>
  <c r="F47" i="4"/>
  <c r="L10" i="4"/>
  <c r="E10" i="20"/>
  <c r="F6" i="4"/>
  <c r="F70" i="4"/>
  <c r="F45" i="4"/>
  <c r="F18" i="4"/>
  <c r="F38" i="4"/>
  <c r="F59" i="4"/>
  <c r="F42" i="4"/>
  <c r="F20" i="4"/>
  <c r="F56" i="4"/>
  <c r="F64" i="4"/>
  <c r="F67" i="4"/>
  <c r="F56" i="19"/>
  <c r="F22" i="12"/>
  <c r="F21" i="12"/>
  <c r="F38" i="3"/>
  <c r="F39" i="14"/>
  <c r="F12" i="14"/>
  <c r="F164" i="14"/>
  <c r="F21" i="13"/>
  <c r="F56" i="13"/>
  <c r="F59" i="13"/>
  <c r="F14" i="14"/>
  <c r="F165" i="14"/>
  <c r="F24" i="23"/>
  <c r="F20" i="23"/>
  <c r="L15" i="14"/>
  <c r="L12" i="3"/>
  <c r="L8" i="3"/>
  <c r="F23" i="23"/>
  <c r="F19" i="23"/>
  <c r="L7" i="23"/>
  <c r="I39" i="8"/>
  <c r="L6" i="14"/>
  <c r="F23" i="12"/>
  <c r="F24" i="12"/>
  <c r="F18" i="12"/>
  <c r="F18" i="14"/>
  <c r="F19" i="14"/>
  <c r="F22" i="13"/>
  <c r="F17" i="13"/>
  <c r="F61" i="13"/>
  <c r="L27" i="14"/>
  <c r="F28" i="19"/>
  <c r="F59" i="19"/>
  <c r="E64" i="8"/>
  <c r="L20" i="12"/>
  <c r="E10" i="22"/>
  <c r="I48" i="8"/>
  <c r="I71" i="8"/>
  <c r="L13" i="20"/>
  <c r="F31" i="12"/>
  <c r="F32" i="12"/>
  <c r="F74" i="19"/>
  <c r="F26" i="19"/>
  <c r="F33" i="19"/>
  <c r="F12" i="19"/>
  <c r="F41" i="19"/>
  <c r="F57" i="19"/>
  <c r="E62" i="8"/>
  <c r="I68" i="8"/>
  <c r="L19" i="12"/>
  <c r="F35" i="12"/>
  <c r="F13" i="19"/>
  <c r="F14" i="19"/>
  <c r="F77" i="19"/>
  <c r="F8" i="19"/>
  <c r="F9" i="19"/>
  <c r="F58" i="19"/>
  <c r="F75" i="19"/>
  <c r="L16" i="12"/>
  <c r="L5" i="23"/>
  <c r="I37" i="8"/>
  <c r="F7" i="23"/>
  <c r="F8" i="23"/>
  <c r="F6" i="23"/>
  <c r="F9" i="23"/>
  <c r="L11" i="19"/>
  <c r="F66" i="19"/>
  <c r="F64" i="19"/>
  <c r="L13" i="22"/>
  <c r="L8" i="14"/>
  <c r="L17" i="14"/>
  <c r="F36" i="14"/>
  <c r="F33" i="14"/>
  <c r="L13" i="3"/>
  <c r="E23" i="22"/>
  <c r="L5" i="3"/>
  <c r="F11" i="3"/>
  <c r="F12" i="3"/>
  <c r="F9" i="3"/>
  <c r="F8" i="3"/>
  <c r="F35" i="14"/>
  <c r="F32" i="14"/>
  <c r="F65" i="19"/>
  <c r="F62" i="19"/>
  <c r="L22" i="14"/>
  <c r="L8" i="12"/>
  <c r="F33" i="12"/>
  <c r="F12" i="23"/>
  <c r="F16" i="23"/>
  <c r="F13" i="23"/>
  <c r="L6" i="23"/>
  <c r="I38" i="8"/>
  <c r="F15" i="23"/>
  <c r="L12" i="22"/>
  <c r="L21" i="14"/>
  <c r="L13" i="4"/>
  <c r="F69" i="4"/>
  <c r="F71" i="4"/>
  <c r="L5" i="4"/>
  <c r="E4" i="4"/>
  <c r="D15" i="17"/>
  <c r="F8" i="4"/>
  <c r="F9" i="4"/>
  <c r="F11" i="4"/>
  <c r="F67" i="13"/>
  <c r="F70" i="13"/>
  <c r="F66" i="13"/>
  <c r="L11" i="13"/>
  <c r="L25" i="22"/>
  <c r="L7" i="13"/>
  <c r="L21" i="22"/>
  <c r="L18" i="13"/>
  <c r="F27" i="13"/>
  <c r="F31" i="13"/>
  <c r="F26" i="13"/>
  <c r="F34" i="12"/>
  <c r="F13" i="3"/>
  <c r="F34" i="13"/>
  <c r="F29" i="13"/>
  <c r="F72" i="13"/>
  <c r="F72" i="4"/>
  <c r="F12" i="4"/>
  <c r="F13" i="4"/>
  <c r="F10" i="4"/>
  <c r="F61" i="19"/>
  <c r="F63" i="19"/>
  <c r="E4" i="19"/>
  <c r="L5" i="20"/>
  <c r="E68" i="8"/>
  <c r="L18" i="12"/>
  <c r="L7" i="12"/>
  <c r="E22" i="8"/>
  <c r="L17" i="12"/>
  <c r="L10" i="23"/>
  <c r="F29" i="12"/>
  <c r="F10" i="3"/>
  <c r="F7" i="3"/>
  <c r="F33" i="13"/>
  <c r="F28" i="13"/>
  <c r="F71" i="13"/>
  <c r="F34" i="14"/>
  <c r="F167" i="14"/>
  <c r="F37" i="4"/>
  <c r="F14" i="4"/>
  <c r="F39" i="4"/>
  <c r="L12" i="19"/>
  <c r="F79" i="19"/>
  <c r="F78" i="19"/>
  <c r="L7" i="19"/>
  <c r="F32" i="19"/>
  <c r="F29" i="19"/>
  <c r="F31" i="19"/>
  <c r="F30" i="19"/>
  <c r="E11" i="22"/>
  <c r="F14" i="23"/>
  <c r="F6" i="14"/>
  <c r="F9" i="14"/>
  <c r="F24" i="13"/>
  <c r="F20" i="13"/>
  <c r="F64" i="13"/>
  <c r="F60" i="13"/>
  <c r="L9" i="23"/>
  <c r="I41" i="8"/>
  <c r="L9" i="14"/>
  <c r="L18" i="14"/>
  <c r="F6" i="13"/>
  <c r="F8" i="13"/>
  <c r="F11" i="13"/>
  <c r="F10" i="13"/>
  <c r="F12" i="13"/>
  <c r="F13" i="13"/>
  <c r="L5" i="13"/>
  <c r="D15" i="16"/>
  <c r="F7" i="13"/>
  <c r="E4" i="13"/>
  <c r="D17" i="5"/>
  <c r="F14" i="13"/>
  <c r="F9" i="13"/>
  <c r="L16" i="13"/>
  <c r="M16" i="13"/>
  <c r="G37" i="22"/>
  <c r="N22" i="22"/>
  <c r="N26" i="22"/>
  <c r="N28" i="22"/>
  <c r="N25" i="13"/>
  <c r="E26" i="23"/>
  <c r="G26" i="23"/>
  <c r="G25" i="23"/>
  <c r="N31" i="14"/>
  <c r="E22" i="20"/>
  <c r="L24" i="22"/>
  <c r="E49" i="8"/>
  <c r="D17" i="15"/>
  <c r="L6" i="22"/>
  <c r="E37" i="8"/>
  <c r="L5" i="22"/>
  <c r="E36" i="8"/>
  <c r="E47" i="8"/>
  <c r="E28" i="8"/>
  <c r="I29" i="8"/>
  <c r="I30" i="8"/>
  <c r="I31" i="8"/>
  <c r="I20" i="8"/>
  <c r="E21" i="8"/>
  <c r="E21" i="22"/>
  <c r="D21" i="28"/>
  <c r="E30" i="8"/>
  <c r="L7" i="22"/>
  <c r="E38" i="8"/>
  <c r="L9" i="22"/>
  <c r="E40" i="8"/>
  <c r="E5" i="22"/>
  <c r="E20" i="8"/>
  <c r="E22" i="22"/>
  <c r="E31" i="8"/>
  <c r="L8" i="22"/>
  <c r="E39" i="8"/>
  <c r="E8" i="22"/>
  <c r="E23" i="8"/>
  <c r="L6" i="3"/>
  <c r="E29" i="8"/>
  <c r="F24" i="3"/>
  <c r="F23" i="3"/>
  <c r="F17" i="3"/>
  <c r="F21" i="3"/>
  <c r="F19" i="3"/>
  <c r="F22" i="3"/>
  <c r="L17" i="3"/>
  <c r="L19" i="3"/>
  <c r="M16" i="3"/>
  <c r="F16" i="3"/>
  <c r="F18" i="3"/>
  <c r="D21" i="5"/>
  <c r="F20" i="3"/>
  <c r="F25" i="3"/>
  <c r="I61" i="8"/>
  <c r="E63" i="8"/>
  <c r="E7" i="22"/>
  <c r="P5" i="12"/>
  <c r="M7" i="12"/>
  <c r="D16" i="5"/>
  <c r="D10" i="5"/>
  <c r="D10" i="16"/>
  <c r="D12" i="16"/>
  <c r="D27" i="16"/>
  <c r="E19" i="22"/>
  <c r="I62" i="8"/>
  <c r="E50" i="8"/>
  <c r="D11" i="15"/>
  <c r="M11" i="22"/>
  <c r="D24" i="5"/>
  <c r="D23" i="15"/>
  <c r="M39" i="6"/>
  <c r="M18" i="13"/>
  <c r="D6" i="5"/>
  <c r="E72" i="8"/>
  <c r="M17" i="13"/>
  <c r="M20" i="13"/>
  <c r="M21" i="13"/>
  <c r="L33" i="22"/>
  <c r="E61" i="8"/>
  <c r="I60" i="8"/>
  <c r="L16" i="19"/>
  <c r="I72" i="8"/>
  <c r="L28" i="14"/>
  <c r="M26" i="14"/>
  <c r="D16" i="16"/>
  <c r="E48" i="8"/>
  <c r="M7" i="13"/>
  <c r="E13" i="20"/>
  <c r="I63" i="8"/>
  <c r="L32" i="22"/>
  <c r="L11" i="20"/>
  <c r="E23" i="20"/>
  <c r="I69" i="8"/>
  <c r="L35" i="22"/>
  <c r="L12" i="20"/>
  <c r="I70" i="8"/>
  <c r="M7" i="19"/>
  <c r="F70" i="8"/>
  <c r="L23" i="14"/>
  <c r="D6" i="15"/>
  <c r="I47" i="8"/>
  <c r="L16" i="4"/>
  <c r="M5" i="4"/>
  <c r="F60" i="8"/>
  <c r="E60" i="8"/>
  <c r="E5" i="20"/>
  <c r="L31" i="22"/>
  <c r="L7" i="20"/>
  <c r="E70" i="8"/>
  <c r="L24" i="12"/>
  <c r="L21" i="12"/>
  <c r="L31" i="14"/>
  <c r="L25" i="13"/>
  <c r="E46" i="8"/>
  <c r="D22" i="15"/>
  <c r="M38" i="6"/>
  <c r="L22" i="13"/>
  <c r="D11" i="5"/>
  <c r="D12" i="5"/>
  <c r="E10" i="5"/>
  <c r="D23" i="5"/>
  <c r="D5" i="15"/>
  <c r="D12" i="15"/>
  <c r="L19" i="22"/>
  <c r="L26" i="22"/>
  <c r="D23" i="28"/>
  <c r="E21" i="28"/>
  <c r="G21" i="28"/>
  <c r="F21" i="28"/>
  <c r="N8" i="23"/>
  <c r="G4" i="23"/>
  <c r="E21" i="20"/>
  <c r="E24" i="20"/>
  <c r="E26" i="20"/>
  <c r="M27" i="14"/>
  <c r="P5" i="3"/>
  <c r="M9" i="3"/>
  <c r="L14" i="22"/>
  <c r="E42" i="8"/>
  <c r="D5" i="16"/>
  <c r="F7" i="22"/>
  <c r="F22" i="8"/>
  <c r="I24" i="8"/>
  <c r="L22" i="3"/>
  <c r="E20" i="22"/>
  <c r="E32" i="22"/>
  <c r="E34" i="22"/>
  <c r="D15" i="5"/>
  <c r="D18" i="5"/>
  <c r="E15" i="5"/>
  <c r="M36" i="6"/>
  <c r="M40" i="6"/>
  <c r="D5" i="5"/>
  <c r="D7" i="5"/>
  <c r="E5" i="5"/>
  <c r="D6" i="16"/>
  <c r="M7" i="14"/>
  <c r="D17" i="16"/>
  <c r="F15" i="16"/>
  <c r="F10" i="16"/>
  <c r="D27" i="15"/>
  <c r="M17" i="14"/>
  <c r="M6" i="14"/>
  <c r="F37" i="8"/>
  <c r="M11" i="14"/>
  <c r="D24" i="15"/>
  <c r="F22" i="15"/>
  <c r="M5" i="14"/>
  <c r="F36" i="8"/>
  <c r="M8" i="14"/>
  <c r="F39" i="8"/>
  <c r="M9" i="14"/>
  <c r="F40" i="8"/>
  <c r="M10" i="14"/>
  <c r="F41" i="8"/>
  <c r="M22" i="14"/>
  <c r="M17" i="12"/>
  <c r="D22" i="5"/>
  <c r="D25" i="5"/>
  <c r="E21" i="5"/>
  <c r="M17" i="3"/>
  <c r="M18" i="3"/>
  <c r="E14" i="22"/>
  <c r="F10" i="22"/>
  <c r="I50" i="8"/>
  <c r="L14" i="20"/>
  <c r="M12" i="19"/>
  <c r="J70" i="8"/>
  <c r="D21" i="16"/>
  <c r="M11" i="13"/>
  <c r="J47" i="8"/>
  <c r="F48" i="8"/>
  <c r="U5" i="15"/>
  <c r="M19" i="12"/>
  <c r="M16" i="12"/>
  <c r="M15" i="12"/>
  <c r="M20" i="12"/>
  <c r="I64" i="8"/>
  <c r="D21" i="17"/>
  <c r="D13" i="15"/>
  <c r="M20" i="14"/>
  <c r="M16" i="14"/>
  <c r="M19" i="14"/>
  <c r="M15" i="14"/>
  <c r="M14" i="14"/>
  <c r="M8" i="12"/>
  <c r="M18" i="14"/>
  <c r="M11" i="12"/>
  <c r="E14" i="20"/>
  <c r="F5" i="20"/>
  <c r="M6" i="19"/>
  <c r="F69" i="8"/>
  <c r="M10" i="19"/>
  <c r="J68" i="8"/>
  <c r="M5" i="19"/>
  <c r="F68" i="8"/>
  <c r="M8" i="19"/>
  <c r="F71" i="8"/>
  <c r="M9" i="19"/>
  <c r="F72" i="8"/>
  <c r="M13" i="19"/>
  <c r="J71" i="8"/>
  <c r="M25" i="22"/>
  <c r="M7" i="4"/>
  <c r="F62" i="8"/>
  <c r="M6" i="4"/>
  <c r="F61" i="8"/>
  <c r="M11" i="4"/>
  <c r="J61" i="8"/>
  <c r="M12" i="4"/>
  <c r="J62" i="8"/>
  <c r="M9" i="4"/>
  <c r="F64" i="8"/>
  <c r="M10" i="4"/>
  <c r="J60" i="8"/>
  <c r="M8" i="4"/>
  <c r="F63" i="8"/>
  <c r="M18" i="12"/>
  <c r="M10" i="12"/>
  <c r="J21" i="8"/>
  <c r="F13" i="22"/>
  <c r="M9" i="12"/>
  <c r="M6" i="12"/>
  <c r="M5" i="12"/>
  <c r="M11" i="19"/>
  <c r="J69" i="8"/>
  <c r="M21" i="14"/>
  <c r="M13" i="4"/>
  <c r="J63" i="8"/>
  <c r="M8" i="13"/>
  <c r="M12" i="13"/>
  <c r="M5" i="13"/>
  <c r="M13" i="13"/>
  <c r="M10" i="13"/>
  <c r="M9" i="13"/>
  <c r="M6" i="13"/>
  <c r="D14" i="15"/>
  <c r="F11" i="15"/>
  <c r="F23" i="28"/>
  <c r="E23" i="28"/>
  <c r="G23" i="28"/>
  <c r="L28" i="22"/>
  <c r="E16" i="22"/>
  <c r="D17" i="28"/>
  <c r="N34" i="22"/>
  <c r="N36" i="22"/>
  <c r="N13" i="23"/>
  <c r="L16" i="22"/>
  <c r="M7" i="3"/>
  <c r="F21" i="22"/>
  <c r="D7" i="16"/>
  <c r="F5" i="16"/>
  <c r="F6" i="22"/>
  <c r="F21" i="8"/>
  <c r="F9" i="22"/>
  <c r="J20" i="8"/>
  <c r="M7" i="22"/>
  <c r="F38" i="8"/>
  <c r="M13" i="3"/>
  <c r="M8" i="3"/>
  <c r="M10" i="3"/>
  <c r="M12" i="3"/>
  <c r="D16" i="17"/>
  <c r="D17" i="17"/>
  <c r="F15" i="17"/>
  <c r="I32" i="8"/>
  <c r="F23" i="22"/>
  <c r="F32" i="8"/>
  <c r="F12" i="22"/>
  <c r="J23" i="8"/>
  <c r="F8" i="22"/>
  <c r="F23" i="8"/>
  <c r="F11" i="22"/>
  <c r="J22" i="8"/>
  <c r="F5" i="22"/>
  <c r="F20" i="8"/>
  <c r="D11" i="17"/>
  <c r="M11" i="3"/>
  <c r="M5" i="3"/>
  <c r="M6" i="3"/>
  <c r="M21" i="22"/>
  <c r="M6" i="22"/>
  <c r="M5" i="22"/>
  <c r="M10" i="22"/>
  <c r="M12" i="22"/>
  <c r="M9" i="22"/>
  <c r="M22" i="22"/>
  <c r="M8" i="22"/>
  <c r="M13" i="22"/>
  <c r="M23" i="22"/>
  <c r="M20" i="22"/>
  <c r="M10" i="20"/>
  <c r="M24" i="22"/>
  <c r="M19" i="22"/>
  <c r="E37" i="22"/>
  <c r="M12" i="20"/>
  <c r="M7" i="20"/>
  <c r="E18" i="20"/>
  <c r="M9" i="20"/>
  <c r="M5" i="20"/>
  <c r="M13" i="20"/>
  <c r="M8" i="20"/>
  <c r="M11" i="20"/>
  <c r="M6" i="20"/>
  <c r="F13" i="20"/>
  <c r="N37" i="6"/>
  <c r="N39" i="6"/>
  <c r="J49" i="8"/>
  <c r="N38" i="6"/>
  <c r="J46" i="8"/>
  <c r="F47" i="8"/>
  <c r="F46" i="8"/>
  <c r="U6" i="15"/>
  <c r="U4" i="15"/>
  <c r="D26" i="5"/>
  <c r="E17" i="20"/>
  <c r="F6" i="20"/>
  <c r="F7" i="20"/>
  <c r="F12" i="20"/>
  <c r="F8" i="20"/>
  <c r="F9" i="20"/>
  <c r="F11" i="20"/>
  <c r="F10" i="20"/>
  <c r="F49" i="8"/>
  <c r="F50" i="8"/>
  <c r="J48" i="8"/>
  <c r="N36" i="6"/>
  <c r="F17" i="28"/>
  <c r="E17" i="28"/>
  <c r="G17" i="28"/>
  <c r="N38" i="22"/>
  <c r="G38" i="22"/>
  <c r="G40" i="22"/>
  <c r="F30" i="8"/>
  <c r="D26" i="16"/>
  <c r="D28" i="16"/>
  <c r="F26" i="16"/>
  <c r="F20" i="22"/>
  <c r="F29" i="8"/>
  <c r="F24" i="22"/>
  <c r="J28" i="8"/>
  <c r="F22" i="22"/>
  <c r="F31" i="8"/>
  <c r="J31" i="8"/>
  <c r="J30" i="8"/>
  <c r="J29" i="8"/>
  <c r="F19" i="22"/>
  <c r="F28" i="8"/>
  <c r="E55" i="8"/>
  <c r="E77" i="8"/>
  <c r="I17" i="20"/>
  <c r="F17" i="20"/>
  <c r="D20" i="16"/>
  <c r="E19" i="20"/>
  <c r="D20" i="28"/>
  <c r="E76" i="8"/>
  <c r="D22" i="16"/>
  <c r="F20" i="28"/>
  <c r="E20" i="28"/>
  <c r="G20" i="28"/>
  <c r="F18" i="20"/>
  <c r="F77" i="8"/>
  <c r="D23" i="16"/>
  <c r="F76" i="8"/>
  <c r="E78" i="8"/>
  <c r="D5" i="17"/>
  <c r="D10" i="17"/>
  <c r="D12" i="17"/>
  <c r="F10" i="17"/>
  <c r="D20" i="17"/>
  <c r="D22" i="17"/>
  <c r="F20" i="17"/>
  <c r="F20" i="16"/>
  <c r="E25" i="23"/>
  <c r="E4" i="23"/>
  <c r="F26" i="23"/>
  <c r="L8" i="23"/>
  <c r="I40" i="8"/>
  <c r="I36" i="8"/>
  <c r="I42" i="8"/>
  <c r="F27" i="23"/>
  <c r="M8" i="23"/>
  <c r="J40" i="8"/>
  <c r="L34" i="22"/>
  <c r="L13" i="23"/>
  <c r="D7" i="15"/>
  <c r="D8" i="15"/>
  <c r="F5" i="15"/>
  <c r="D6" i="17"/>
  <c r="D7" i="17"/>
  <c r="F5" i="17"/>
  <c r="D28" i="15"/>
  <c r="D29" i="15"/>
  <c r="F27" i="15"/>
  <c r="D18" i="15"/>
  <c r="D19" i="15"/>
  <c r="F17" i="15"/>
  <c r="L36" i="22"/>
  <c r="D18" i="28"/>
  <c r="D19" i="28"/>
  <c r="M34" i="22"/>
  <c r="M7" i="23"/>
  <c r="J39" i="8"/>
  <c r="M9" i="23"/>
  <c r="J41" i="8"/>
  <c r="M5" i="23"/>
  <c r="J37" i="8"/>
  <c r="M6" i="23"/>
  <c r="J38" i="8"/>
  <c r="M10" i="23"/>
  <c r="L38" i="22"/>
  <c r="E38" i="22"/>
  <c r="F19" i="28"/>
  <c r="E19" i="28"/>
  <c r="G19" i="28"/>
  <c r="F18" i="28"/>
  <c r="E18" i="28"/>
  <c r="G18" i="28"/>
  <c r="M32" i="22"/>
  <c r="M35" i="22"/>
  <c r="M31" i="22"/>
  <c r="M33" i="22"/>
  <c r="G29" i="28" a="1"/>
  <c r="G29" i="28"/>
  <c r="F41" i="28"/>
  <c r="E56" i="8"/>
  <c r="E40" i="22"/>
  <c r="F38" i="28"/>
  <c r="H38" i="28"/>
  <c r="F61" i="28"/>
  <c r="N61" i="28"/>
  <c r="G61" i="28"/>
  <c r="L61" i="28"/>
  <c r="H41" i="28"/>
  <c r="N41" i="28"/>
  <c r="G41" i="28"/>
  <c r="L41" i="28"/>
  <c r="H61" i="28"/>
  <c r="N38" i="28"/>
  <c r="G38" i="28"/>
  <c r="L38" i="28"/>
  <c r="C7" i="28"/>
  <c r="W35" i="28"/>
  <c r="V35" i="28"/>
  <c r="C8" i="28"/>
  <c r="W36" i="28"/>
  <c r="V36" i="28"/>
  <c r="C9" i="28"/>
  <c r="W37" i="28"/>
  <c r="V37" i="28"/>
  <c r="V38" i="28"/>
  <c r="U35" i="28"/>
  <c r="Z35" i="28"/>
  <c r="D7" i="28"/>
  <c r="B2" i="28"/>
  <c r="W33" i="28"/>
  <c r="D2" i="28"/>
  <c r="B4" i="28"/>
  <c r="U36" i="28"/>
  <c r="Z36" i="28"/>
  <c r="D8" i="28"/>
  <c r="U37" i="28"/>
  <c r="Z37" i="28"/>
  <c r="D9" i="28"/>
  <c r="W32" i="28"/>
  <c r="U38" i="28"/>
  <c r="C4" i="28"/>
  <c r="B5" i="28"/>
  <c r="C5"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André da Silva Cuto</author>
  </authors>
  <commentList>
    <comment ref="H166" authorId="0" shapeId="0" xr:uid="{FCD9AAF9-9298-45D3-8FDD-763303C65B6F}">
      <text>
        <r>
          <rPr>
            <b/>
            <sz val="9"/>
            <color indexed="81"/>
            <rFont val="Tahoma"/>
            <family val="2"/>
          </rPr>
          <t>André da Silva Cuto:</t>
        </r>
        <r>
          <rPr>
            <sz val="9"/>
            <color indexed="81"/>
            <rFont val="Tahoma"/>
            <family val="2"/>
          </rPr>
          <t xml:space="preserve">
ipu referente ao patrimonio
</t>
        </r>
      </text>
    </comment>
    <comment ref="H314" authorId="0" shapeId="0" xr:uid="{BA97628A-CF75-4D9D-BAF9-9828499FEAF8}">
      <text>
        <r>
          <rPr>
            <b/>
            <sz val="9"/>
            <color indexed="81"/>
            <rFont val="Tahoma"/>
            <family val="2"/>
          </rPr>
          <t>André da Silva Cuto:</t>
        </r>
        <r>
          <rPr>
            <sz val="9"/>
            <color indexed="81"/>
            <rFont val="Tahoma"/>
            <family val="2"/>
          </rPr>
          <t xml:space="preserve">
segunda coluna parece me que a formula esta incompleta, pois compreende apenas até E 315</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able001 (Page 1-32) (3)" description="Ligação à consulta 'Table001 (Page 1-32) (3)' no livro." type="5" refreshedVersion="6" background="1" saveData="1">
    <dbPr connection="Provider=Microsoft.Mashup.OleDb.1;Data Source=$Workbook$;Location=&quot;Table001 (Page 1-32) (3)&quot;;Extended Properties=&quot;&quot;" command="SELECT * FROM [Table001 (Page 1-32) (3)]"/>
  </connection>
  <connection id="2" xr16:uid="{00000000-0015-0000-FFFF-FFFF01000000}" keepAlive="1" name="Consulta - Table001 (Page 1-32) (4)" description="Ligação à consulta 'Table001 (Page 1-32) (4)' no livro." type="5" refreshedVersion="6" background="1" saveData="1">
    <dbPr connection="Provider=Microsoft.Mashup.OleDb.1;Data Source=$Workbook$;Location=&quot;Table001 (Page 1-32) (4)&quot;;Extended Properties=&quot;&quot;" command="SELECT * FROM [Table001 (Page 1-32) (4)]"/>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<sst xmlns="http://schemas.openxmlformats.org/spreadsheetml/2006/main" count="2793" uniqueCount="1789">
  <si>
    <r>
      <rPr>
        <b/>
        <sz val="16"/>
        <color theme="5" tint="-0.499984740745262"/>
        <rFont val="Calibri"/>
        <family val="2"/>
        <scheme val="minor"/>
      </rPr>
      <t>RESOLUÇÃO Nº 1/17 DE 5 DE JANEIRO</t>
    </r>
    <r>
      <rPr>
        <b/>
        <sz val="16"/>
        <color theme="5" tint="-0.249977111117893"/>
        <rFont val="Calibri"/>
        <family val="2"/>
        <scheme val="minor"/>
      </rPr>
      <t xml:space="preserve">                                                                                                     Prestações de Contas dos Órgãos Autónomos, Sector Empresarial Público e demais Serviços e Entidades do sector Produtivo regidos pelo Plano Geral de Contabilidade.</t>
    </r>
  </si>
  <si>
    <t>ENTIDADE:</t>
  </si>
  <si>
    <t xml:space="preserve">PERÍODO: </t>
  </si>
  <si>
    <t>1.0</t>
  </si>
  <si>
    <t xml:space="preserve">  PLANO DE CONTAS E BALANCETE</t>
  </si>
  <si>
    <t>O Plano de Contas serve de guia para o preenchimento do Balancete, pois o mesmo está estruturado conforme a elaboração e apresentação do Balanço Patrimonial e da Demonstração de Resultados, de acordo com o estabelecido no Plano Geral de Contabilidade, aprovado pelo Decreto nº 82/2001, de 16 de Novembro, actualizado pelo Decreto Presidencial nº 180/19, de 24 de Maio, que regula a implementação do IVA.</t>
  </si>
  <si>
    <t>2.0</t>
  </si>
  <si>
    <t>BALANÇO PATRIMONIAL</t>
  </si>
  <si>
    <t>Registar os valores referentes ao Balanço Patrimonial, classificando-os em Activos (Não Corrente e Corrente), Passivo (Não Corrente e Corrente) e o Capital Próprio.</t>
  </si>
  <si>
    <t>3.0</t>
  </si>
  <si>
    <t>DEMONSTRAÇÃO DO RESULTADO DO EXERCÍCIO</t>
  </si>
  <si>
    <t>Registar os valores referentes ao resultado do exercício, classificando-os em Proveitos (Receitas) e Custos (Despesas).</t>
  </si>
  <si>
    <t>4.0</t>
  </si>
  <si>
    <t>GRÁFICOS DEMONSTRAÇÕES CONTÁBEIS</t>
  </si>
  <si>
    <t>Apresentação dos Gráficos do Balanço Patrimonial e Demonstração do Resultado do Exercício para melhor visualização</t>
  </si>
  <si>
    <t>INDICADORES FINANCEIROS</t>
  </si>
  <si>
    <t>Análise dos principais indicadores financeiros com base nas demonstrações financeiras</t>
  </si>
  <si>
    <t>5.0</t>
  </si>
  <si>
    <t>RELATÓRIO COMPLETO</t>
  </si>
  <si>
    <t>Relatório Completo das Demonstrações Financeiras e Indicadores Financeiros para impressão.</t>
  </si>
  <si>
    <t>NOTA</t>
  </si>
  <si>
    <t>CÓDIGO</t>
  </si>
  <si>
    <t>CONTAS DO BALANÇO PATRIMONIAL</t>
  </si>
  <si>
    <t>CONTA DO PGC</t>
  </si>
  <si>
    <t>NATUREZA DA CONTA</t>
  </si>
  <si>
    <t>ACTIVO</t>
  </si>
  <si>
    <t>1.1</t>
  </si>
  <si>
    <t>Activos não Correntes</t>
  </si>
  <si>
    <t>1.1.1</t>
  </si>
  <si>
    <t>Imobilizações corpóreas</t>
  </si>
  <si>
    <t>1.1.1.1</t>
  </si>
  <si>
    <t xml:space="preserve">   Terrenos e recursos naturais </t>
  </si>
  <si>
    <t>11.1</t>
  </si>
  <si>
    <t>Devedora</t>
  </si>
  <si>
    <t>1.1.1.2</t>
  </si>
  <si>
    <t xml:space="preserve">   Edifícios e outras construções</t>
  </si>
  <si>
    <t>11.2</t>
  </si>
  <si>
    <t>1.1.1.3</t>
  </si>
  <si>
    <t xml:space="preserve">   Equipamento básico </t>
  </si>
  <si>
    <t>11.3</t>
  </si>
  <si>
    <t>1.1.1.4</t>
  </si>
  <si>
    <t xml:space="preserve">   Equipamento de transporte </t>
  </si>
  <si>
    <t>11.4</t>
  </si>
  <si>
    <t>1.1.1.5</t>
  </si>
  <si>
    <t xml:space="preserve">   Equipamento administrativo</t>
  </si>
  <si>
    <t>11.5</t>
  </si>
  <si>
    <t>1.1.1.6</t>
  </si>
  <si>
    <t xml:space="preserve">   Taras e vasilhames</t>
  </si>
  <si>
    <t>11.6</t>
  </si>
  <si>
    <t>1.1.1.7</t>
  </si>
  <si>
    <t xml:space="preserve">   Outras imobilizações corpóreas</t>
  </si>
  <si>
    <t>11.9</t>
  </si>
  <si>
    <t>1.1.1.8</t>
  </si>
  <si>
    <t xml:space="preserve">   Imobilizado em curso</t>
  </si>
  <si>
    <t>14.1</t>
  </si>
  <si>
    <t>1.1.1.9</t>
  </si>
  <si>
    <t xml:space="preserve">   Adiantamentos por conta de imobilizações corpóres</t>
  </si>
  <si>
    <t>14.7</t>
  </si>
  <si>
    <t>1.1.1.10</t>
  </si>
  <si>
    <t xml:space="preserve">    Amortizações acumuladas - Imobilizações corpóreas</t>
  </si>
  <si>
    <t>18.1</t>
  </si>
  <si>
    <t>Credora</t>
  </si>
  <si>
    <t>1.1.2</t>
  </si>
  <si>
    <t>Imobilizações incorpóreas</t>
  </si>
  <si>
    <t>1.1.2.1</t>
  </si>
  <si>
    <t xml:space="preserve">   Trespasses</t>
  </si>
  <si>
    <t>12.1</t>
  </si>
  <si>
    <t>1.1.2.2</t>
  </si>
  <si>
    <t xml:space="preserve">   Despesas de desenvolvimento</t>
  </si>
  <si>
    <t>12.2</t>
  </si>
  <si>
    <t>1.1.2.3</t>
  </si>
  <si>
    <t xml:space="preserve">   Propriedade industrial e outros direitos e contratos</t>
  </si>
  <si>
    <t>12.3</t>
  </si>
  <si>
    <t>1.1.2.4</t>
  </si>
  <si>
    <t xml:space="preserve">   Despesas de constituição</t>
  </si>
  <si>
    <t>12.4</t>
  </si>
  <si>
    <t>1.1.2.5</t>
  </si>
  <si>
    <t xml:space="preserve">   Outras imobilizações incorpóreas</t>
  </si>
  <si>
    <t>12.9</t>
  </si>
  <si>
    <t>1.1.2.6</t>
  </si>
  <si>
    <t xml:space="preserve">   Adiantamentos por conta de imobilizado incorpóreo</t>
  </si>
  <si>
    <t>14.8</t>
  </si>
  <si>
    <t>1.1.2.7</t>
  </si>
  <si>
    <t xml:space="preserve">   Amortizações acumuladas -  Imobilizações incorpóreas</t>
  </si>
  <si>
    <t>18.2</t>
  </si>
  <si>
    <t>1.1.3</t>
  </si>
  <si>
    <t>Investimentos em subsidiárias e associadas</t>
  </si>
  <si>
    <t>1.1.3.1</t>
  </si>
  <si>
    <t xml:space="preserve">   Empresas subsidiárias</t>
  </si>
  <si>
    <t>13.1</t>
  </si>
  <si>
    <t>1.1.3.1.1</t>
  </si>
  <si>
    <t xml:space="preserve">        Partes de capital</t>
  </si>
  <si>
    <t>13.1.1</t>
  </si>
  <si>
    <t>1.1.3.1.2</t>
  </si>
  <si>
    <t xml:space="preserve">        Obrigações e outros títulos de participaçãpo</t>
  </si>
  <si>
    <t>13.1.2</t>
  </si>
  <si>
    <t>1.1.3.1.3</t>
  </si>
  <si>
    <t xml:space="preserve">        Empréstimos</t>
  </si>
  <si>
    <t>13.1.3</t>
  </si>
  <si>
    <t>1.1.3.1.4</t>
  </si>
  <si>
    <t xml:space="preserve">        Adiantamentos por conta</t>
  </si>
  <si>
    <t>13.1.4</t>
  </si>
  <si>
    <t>1.1.3.2</t>
  </si>
  <si>
    <t xml:space="preserve">   Empresas associadas</t>
  </si>
  <si>
    <t>13.2</t>
  </si>
  <si>
    <t>1.1.3.2.1</t>
  </si>
  <si>
    <t>13.2.1</t>
  </si>
  <si>
    <t>1.1.3.2.2</t>
  </si>
  <si>
    <t>13.2.2</t>
  </si>
  <si>
    <t>1.1.3.2.3</t>
  </si>
  <si>
    <t>13.2.3</t>
  </si>
  <si>
    <t>1.1.3.2.4</t>
  </si>
  <si>
    <t>13.2.4</t>
  </si>
  <si>
    <t>1.1.4</t>
  </si>
  <si>
    <t>Outros activos financeiros</t>
  </si>
  <si>
    <t>1.1.4.1</t>
  </si>
  <si>
    <t xml:space="preserve">    Investimentos em outras empresas</t>
  </si>
  <si>
    <t>13.3</t>
  </si>
  <si>
    <t>1.1.4.2</t>
  </si>
  <si>
    <t xml:space="preserve">    Investimentos em imóveis</t>
  </si>
  <si>
    <t>13.4</t>
  </si>
  <si>
    <t>1.1.4.3</t>
  </si>
  <si>
    <t xml:space="preserve">    Fundos</t>
  </si>
  <si>
    <t>13.5</t>
  </si>
  <si>
    <t>1.1.4.4</t>
  </si>
  <si>
    <t xml:space="preserve">   Outros investimentos financeiros</t>
  </si>
  <si>
    <t>13.9</t>
  </si>
  <si>
    <t>1.1.4.5</t>
  </si>
  <si>
    <t xml:space="preserve">   Adiantamento por conta de investimentos financeiros</t>
  </si>
  <si>
    <t>14.9</t>
  </si>
  <si>
    <t>1.1.4.6</t>
  </si>
  <si>
    <t xml:space="preserve">   Amortizações acumuladas - Investimentos financeiros em imóveis</t>
  </si>
  <si>
    <t>18.3</t>
  </si>
  <si>
    <t>1.1.5</t>
  </si>
  <si>
    <t>Provisões para investimentos financeiros</t>
  </si>
  <si>
    <t>1.1.5.1</t>
  </si>
  <si>
    <t xml:space="preserve">    Empresas subsidiárias</t>
  </si>
  <si>
    <t>19.1</t>
  </si>
  <si>
    <t>1.1.5.2</t>
  </si>
  <si>
    <t xml:space="preserve">    Empresas associadas</t>
  </si>
  <si>
    <t>19.2</t>
  </si>
  <si>
    <t>1.1.5.3</t>
  </si>
  <si>
    <t xml:space="preserve">    Outras empresas</t>
  </si>
  <si>
    <t>19.3</t>
  </si>
  <si>
    <t>1.1.5.4</t>
  </si>
  <si>
    <t>19.4</t>
  </si>
  <si>
    <t>1.1.5.5</t>
  </si>
  <si>
    <t xml:space="preserve">    Outros investimentos financeiros</t>
  </si>
  <si>
    <t>19.9</t>
  </si>
  <si>
    <t>1.1.6</t>
  </si>
  <si>
    <t>Outros activos não correntes</t>
  </si>
  <si>
    <t>1.2</t>
  </si>
  <si>
    <t xml:space="preserve"> Activos Correntes</t>
  </si>
  <si>
    <t>1.2.1</t>
  </si>
  <si>
    <t>Existências</t>
  </si>
  <si>
    <t>1.2.1.1</t>
  </si>
  <si>
    <t xml:space="preserve">   Matérias-primas, subsidiárias e de consumo</t>
  </si>
  <si>
    <t>1.2.1.2</t>
  </si>
  <si>
    <t xml:space="preserve">   Produtos e trabalhos em curso</t>
  </si>
  <si>
    <t>1.2.1.3</t>
  </si>
  <si>
    <t xml:space="preserve">   Produtos acabados e intermédios</t>
  </si>
  <si>
    <t>1.2.1.4</t>
  </si>
  <si>
    <t xml:space="preserve">   Subprodutos, desperdícios, resíduos e refugos</t>
  </si>
  <si>
    <t>1.2.1.5</t>
  </si>
  <si>
    <t xml:space="preserve">   Mercadorias</t>
  </si>
  <si>
    <t>1.2.1.6</t>
  </si>
  <si>
    <t xml:space="preserve">   Matérias-primas, mercadorias e materiais em trânsito</t>
  </si>
  <si>
    <t>1.2.1.7</t>
  </si>
  <si>
    <t xml:space="preserve">    Adiantamentos por conta de compras</t>
  </si>
  <si>
    <t>1.2.1.8</t>
  </si>
  <si>
    <t xml:space="preserve">    Provisões para depreciação de existências</t>
  </si>
  <si>
    <t>1.2.2</t>
  </si>
  <si>
    <t>Contas a receber</t>
  </si>
  <si>
    <t>1.2.2.1</t>
  </si>
  <si>
    <t xml:space="preserve">   Clientes-correntes</t>
  </si>
  <si>
    <t>31.1</t>
  </si>
  <si>
    <t>1.2.2.2</t>
  </si>
  <si>
    <t xml:space="preserve">   Clientes - títulos a receber</t>
  </si>
  <si>
    <t>31.2</t>
  </si>
  <si>
    <t>1.2.2.3</t>
  </si>
  <si>
    <t xml:space="preserve">   Clientes de cobrança duvidosa</t>
  </si>
  <si>
    <t>31.8</t>
  </si>
  <si>
    <t>1.2.2.4</t>
  </si>
  <si>
    <t xml:space="preserve">   Fornecedores - saldos devedores</t>
  </si>
  <si>
    <t>32.9</t>
  </si>
  <si>
    <t>1.2.2.5</t>
  </si>
  <si>
    <t xml:space="preserve">   Estado</t>
  </si>
  <si>
    <t>1.2.2.6</t>
  </si>
  <si>
    <t xml:space="preserve">   Participantes e participadas</t>
  </si>
  <si>
    <t>1.2.2.7</t>
  </si>
  <si>
    <t xml:space="preserve">   Pessoal</t>
  </si>
  <si>
    <t>1.2.2.8</t>
  </si>
  <si>
    <t xml:space="preserve">   Devedores - vendas de imobilizado</t>
  </si>
  <si>
    <t>37.2</t>
  </si>
  <si>
    <t>1.2.2.9</t>
  </si>
  <si>
    <t xml:space="preserve">   Outros devedores </t>
  </si>
  <si>
    <t>1.2.2.10</t>
  </si>
  <si>
    <t xml:space="preserve">   Provisões para cobrança duvidosa</t>
  </si>
  <si>
    <t xml:space="preserve">        Provisões para clientes</t>
  </si>
  <si>
    <t>38.1</t>
  </si>
  <si>
    <t xml:space="preserve">        Provisões para saldos devedores de fornecedores</t>
  </si>
  <si>
    <t>38.2</t>
  </si>
  <si>
    <t xml:space="preserve">        Provisões para participantes e participadas</t>
  </si>
  <si>
    <t>38.3</t>
  </si>
  <si>
    <t xml:space="preserve">        Provisões para dívidas de pessoal</t>
  </si>
  <si>
    <t>38.4</t>
  </si>
  <si>
    <t xml:space="preserve">        Provisões para outros saldos a receber</t>
  </si>
  <si>
    <t>38.5</t>
  </si>
  <si>
    <t>1.2.3</t>
  </si>
  <si>
    <t>Disponibilidades</t>
  </si>
  <si>
    <t>1.2.3.1</t>
  </si>
  <si>
    <t xml:space="preserve">    Títulos negociáveis</t>
  </si>
  <si>
    <t>1.2.3.2</t>
  </si>
  <si>
    <t xml:space="preserve">    Saldos em bancos</t>
  </si>
  <si>
    <t>1.2.3.2.1</t>
  </si>
  <si>
    <t xml:space="preserve">        Depósitos a prazo</t>
  </si>
  <si>
    <t>1.2.3.2.2</t>
  </si>
  <si>
    <t xml:space="preserve">        Depósitos a ordem</t>
  </si>
  <si>
    <t>1.2.3.2.3</t>
  </si>
  <si>
    <t xml:space="preserve">        Outros depósitos</t>
  </si>
  <si>
    <t>1.2.3.3</t>
  </si>
  <si>
    <t xml:space="preserve">    Caixa</t>
  </si>
  <si>
    <t>1.2.3.4</t>
  </si>
  <si>
    <t xml:space="preserve">    Conta transitória</t>
  </si>
  <si>
    <t>1.2.3.5</t>
  </si>
  <si>
    <t xml:space="preserve">    Provisões</t>
  </si>
  <si>
    <t>1.2.4</t>
  </si>
  <si>
    <t>Outros activos correntes</t>
  </si>
  <si>
    <t>1.2.4.1</t>
  </si>
  <si>
    <t xml:space="preserve">    Proveitos a faturar - Contratos plurianuais em curso </t>
  </si>
  <si>
    <t>37.3</t>
  </si>
  <si>
    <t>1.2.4.2</t>
  </si>
  <si>
    <t xml:space="preserve">    Proveitos a faturar - Encargos a repartir por exercícios futuros</t>
  </si>
  <si>
    <t>37.4</t>
  </si>
  <si>
    <t>1.2.4.3</t>
  </si>
  <si>
    <t xml:space="preserve">    Outros valores a receber</t>
  </si>
  <si>
    <t>37.9</t>
  </si>
  <si>
    <t>CAPITAL PRÓPRIO E PASSIVO</t>
  </si>
  <si>
    <t>2.1</t>
  </si>
  <si>
    <t xml:space="preserve"> Capital Próprio</t>
  </si>
  <si>
    <t>2.1.1</t>
  </si>
  <si>
    <t xml:space="preserve">Capital </t>
  </si>
  <si>
    <t>2.1.1.1</t>
  </si>
  <si>
    <t xml:space="preserve">    Capital</t>
  </si>
  <si>
    <t>2.1.1.2</t>
  </si>
  <si>
    <t xml:space="preserve">    Acções/quotas próprias</t>
  </si>
  <si>
    <t>2.1.1.3</t>
  </si>
  <si>
    <t xml:space="preserve">    Prémios de emissão</t>
  </si>
  <si>
    <t>2.1.1.4</t>
  </si>
  <si>
    <t xml:space="preserve">    Prestações suplementares</t>
  </si>
  <si>
    <t>2.1.2</t>
  </si>
  <si>
    <t>Reservas</t>
  </si>
  <si>
    <t>2.1.2.1</t>
  </si>
  <si>
    <t xml:space="preserve">    Reserva legal</t>
  </si>
  <si>
    <t>2.1.2.2</t>
  </si>
  <si>
    <t xml:space="preserve">    Reservas de reavaliação</t>
  </si>
  <si>
    <t>2.1.2.3</t>
  </si>
  <si>
    <t xml:space="preserve">    Reservas com fins especiais</t>
  </si>
  <si>
    <t>2.1.2.4</t>
  </si>
  <si>
    <t xml:space="preserve">    Reservas livres</t>
  </si>
  <si>
    <t>2.1.3</t>
  </si>
  <si>
    <t>Resultados transitados</t>
  </si>
  <si>
    <t>2.1.3.1</t>
  </si>
  <si>
    <t xml:space="preserve">    Transferência dos resultados do exercício anterior</t>
  </si>
  <si>
    <t>81.1</t>
  </si>
  <si>
    <t>2.1.3.2</t>
  </si>
  <si>
    <t xml:space="preserve">    Aplicações de resultados</t>
  </si>
  <si>
    <t>81.2</t>
  </si>
  <si>
    <t>2.1.3.3</t>
  </si>
  <si>
    <t xml:space="preserve">    Erros fundamentais</t>
  </si>
  <si>
    <t>81.3</t>
  </si>
  <si>
    <t>2.1.3.4</t>
  </si>
  <si>
    <t xml:space="preserve">    Alterações de políticas contabilísticas</t>
  </si>
  <si>
    <t>81.4</t>
  </si>
  <si>
    <t>2.1.3.5</t>
  </si>
  <si>
    <t xml:space="preserve">    Efeito de impostos dos erros fundamentais e das alterações de políticas contabilísticas</t>
  </si>
  <si>
    <t>81.5</t>
  </si>
  <si>
    <t>2.1.3.6</t>
  </si>
  <si>
    <t xml:space="preserve">    Outros movimentos</t>
  </si>
  <si>
    <t>2.1.4</t>
  </si>
  <si>
    <t>Resultados do exercício</t>
  </si>
  <si>
    <t>2.2</t>
  </si>
  <si>
    <t xml:space="preserve"> Passivo não Corrente</t>
  </si>
  <si>
    <t>2.2.1</t>
  </si>
  <si>
    <t>Empréstimos de médio e longo prazos</t>
  </si>
  <si>
    <t>2.2.1.1</t>
  </si>
  <si>
    <t xml:space="preserve">    Empréstimos bancários</t>
  </si>
  <si>
    <t>33.1</t>
  </si>
  <si>
    <t>2.2.1.2</t>
  </si>
  <si>
    <t xml:space="preserve">    Empréstimos por obrigações</t>
  </si>
  <si>
    <t>33.2</t>
  </si>
  <si>
    <t>2.2.1.3</t>
  </si>
  <si>
    <t xml:space="preserve">    Empréstimos por título de participação</t>
  </si>
  <si>
    <t>33.3</t>
  </si>
  <si>
    <t>2.2.1.4</t>
  </si>
  <si>
    <t xml:space="preserve">    Outros empréstimos</t>
  </si>
  <si>
    <t>33.9</t>
  </si>
  <si>
    <t>2.2.2</t>
  </si>
  <si>
    <t>Impostos diferidos</t>
  </si>
  <si>
    <t>2.2.3</t>
  </si>
  <si>
    <t>Provisões para pensões</t>
  </si>
  <si>
    <t>39.1</t>
  </si>
  <si>
    <t>2.2.4</t>
  </si>
  <si>
    <t>Provisões para outros riscos e encargos</t>
  </si>
  <si>
    <t>2.2.4.1</t>
  </si>
  <si>
    <t xml:space="preserve">    Provisões para processos judiciais em curso</t>
  </si>
  <si>
    <t>39.2</t>
  </si>
  <si>
    <t>2.2.4.2</t>
  </si>
  <si>
    <t xml:space="preserve">    Provisões para acidentes de trabalho</t>
  </si>
  <si>
    <t>39.3</t>
  </si>
  <si>
    <t>2.2.4.3</t>
  </si>
  <si>
    <t xml:space="preserve">    Provisões para garantias dadas a clientes</t>
  </si>
  <si>
    <t>39.4</t>
  </si>
  <si>
    <t>2.2.4.4</t>
  </si>
  <si>
    <t xml:space="preserve">    Provisões para outros riscos e encargos</t>
  </si>
  <si>
    <t>39.9</t>
  </si>
  <si>
    <t>2.2.5</t>
  </si>
  <si>
    <t>Outros passivos não correntes</t>
  </si>
  <si>
    <t>2.3</t>
  </si>
  <si>
    <t xml:space="preserve"> Passivo Corrente</t>
  </si>
  <si>
    <t>2.3.1</t>
  </si>
  <si>
    <t>Contas a pagar</t>
  </si>
  <si>
    <t>2.3.1.1</t>
  </si>
  <si>
    <t xml:space="preserve">    Fornecedores - correntes</t>
  </si>
  <si>
    <t>32.1</t>
  </si>
  <si>
    <t>2.3.1.2</t>
  </si>
  <si>
    <t xml:space="preserve">    Fornecedores - títulos a pagar</t>
  </si>
  <si>
    <t>32.2</t>
  </si>
  <si>
    <t>2.3.1.3</t>
  </si>
  <si>
    <t xml:space="preserve">    Fornecedores - Facturas em recepção e conferência</t>
  </si>
  <si>
    <t>32.8</t>
  </si>
  <si>
    <t>2.3.1.4</t>
  </si>
  <si>
    <t xml:space="preserve">    Clientes - saldos credores</t>
  </si>
  <si>
    <t>31.9</t>
  </si>
  <si>
    <t>2.3.1.5</t>
  </si>
  <si>
    <t xml:space="preserve">    Estado</t>
  </si>
  <si>
    <t>2.3.1.5.1</t>
  </si>
  <si>
    <t xml:space="preserve">        Impostos sobre lucros</t>
  </si>
  <si>
    <t>34.1</t>
  </si>
  <si>
    <t>2.3.1.5.2</t>
  </si>
  <si>
    <t xml:space="preserve">        Imposto de produção e consumo</t>
  </si>
  <si>
    <t>34.2</t>
  </si>
  <si>
    <t>2.3.1.5.3</t>
  </si>
  <si>
    <t xml:space="preserve">        Imposto de rendimento de trabalho</t>
  </si>
  <si>
    <t>34.3</t>
  </si>
  <si>
    <t>2.3.1.5.4</t>
  </si>
  <si>
    <t xml:space="preserve">        Imposto sobre veículos motorizados</t>
  </si>
  <si>
    <t>34.4</t>
  </si>
  <si>
    <t>2.3.1.5.5</t>
  </si>
  <si>
    <t xml:space="preserve">        IVA</t>
  </si>
  <si>
    <t>34.5</t>
  </si>
  <si>
    <t>2.3.1.5.6</t>
  </si>
  <si>
    <t xml:space="preserve">        Certificados de crédito fiscal a compensar</t>
  </si>
  <si>
    <t>34.6</t>
  </si>
  <si>
    <t>2.3.1.5.7</t>
  </si>
  <si>
    <t xml:space="preserve">        Subsídios a preços</t>
  </si>
  <si>
    <t>34.8</t>
  </si>
  <si>
    <t>2.3.1.5.8</t>
  </si>
  <si>
    <t xml:space="preserve">        Outros impostos</t>
  </si>
  <si>
    <t>34.9</t>
  </si>
  <si>
    <t xml:space="preserve">    Participantes e participadas</t>
  </si>
  <si>
    <t xml:space="preserve">        Entidades partecipantes</t>
  </si>
  <si>
    <t>35.1</t>
  </si>
  <si>
    <t xml:space="preserve">        Entidades partecipadas</t>
  </si>
  <si>
    <t>35.2</t>
  </si>
  <si>
    <t>2.3.1.6</t>
  </si>
  <si>
    <t xml:space="preserve">    Pessoal</t>
  </si>
  <si>
    <t>2.3.1.6.1</t>
  </si>
  <si>
    <t xml:space="preserve">        Pessoal - remunerações</t>
  </si>
  <si>
    <t>36.1</t>
  </si>
  <si>
    <t>2.3.1.6.2</t>
  </si>
  <si>
    <t xml:space="preserve">        Pessoal - participação nos resultados</t>
  </si>
  <si>
    <t>36.2</t>
  </si>
  <si>
    <t>2.3.1.6.3</t>
  </si>
  <si>
    <t xml:space="preserve">        Pessoal - Adiantamentos</t>
  </si>
  <si>
    <t>36.3</t>
  </si>
  <si>
    <t>2.3.1.6.4</t>
  </si>
  <si>
    <t xml:space="preserve">        Pessoal - Outros</t>
  </si>
  <si>
    <t>36.9</t>
  </si>
  <si>
    <t>2.3.1.7</t>
  </si>
  <si>
    <t xml:space="preserve">    Credores - compra de imobilizado</t>
  </si>
  <si>
    <t>37.1</t>
  </si>
  <si>
    <t>2.3.1.8</t>
  </si>
  <si>
    <t xml:space="preserve">    Outros credores</t>
  </si>
  <si>
    <t>2.3.2</t>
  </si>
  <si>
    <t>Empréstimos de curto prazo</t>
  </si>
  <si>
    <t>2.3.2.1</t>
  </si>
  <si>
    <t>2.3.2.2</t>
  </si>
  <si>
    <t>2.3.2.3</t>
  </si>
  <si>
    <t>2.3.2.4</t>
  </si>
  <si>
    <t>2.3.3</t>
  </si>
  <si>
    <t>Parte correspondente dos empréstimos a médio e longo prazos</t>
  </si>
  <si>
    <t>2.3.4</t>
  </si>
  <si>
    <t>Outros passivos correntes</t>
  </si>
  <si>
    <t>2.3.4.1</t>
  </si>
  <si>
    <t xml:space="preserve">    Encargos a pagar</t>
  </si>
  <si>
    <t>37.5</t>
  </si>
  <si>
    <t>2.3.4.2</t>
  </si>
  <si>
    <t xml:space="preserve">    Proveitos a pagar por exercícios futuros</t>
  </si>
  <si>
    <t>37.6</t>
  </si>
  <si>
    <t>2.3.4.2.1</t>
  </si>
  <si>
    <t xml:space="preserve">    Prémios de emissão de obrigações</t>
  </si>
  <si>
    <t>37.6.1</t>
  </si>
  <si>
    <t>2.3.4.2.2</t>
  </si>
  <si>
    <t xml:space="preserve">    Prémios de emissão de títulos de participação</t>
  </si>
  <si>
    <t>37.6.2</t>
  </si>
  <si>
    <t>2.3.4.2.3</t>
  </si>
  <si>
    <t xml:space="preserve">    Subsídios para investimento</t>
  </si>
  <si>
    <t>37.6.3</t>
  </si>
  <si>
    <t>2.3.4.2.4</t>
  </si>
  <si>
    <t xml:space="preserve">    Diferenças de câmbio favoráveis reversíveis</t>
  </si>
  <si>
    <t>37.6.4</t>
  </si>
  <si>
    <t>2.3.4.3</t>
  </si>
  <si>
    <t xml:space="preserve">    Contas transitórias</t>
  </si>
  <si>
    <t>37.7</t>
  </si>
  <si>
    <t>2.3.4.4</t>
  </si>
  <si>
    <t xml:space="preserve">    Outros valores a pagar</t>
  </si>
  <si>
    <t>CONTAS DA DEMONSTRAÇÃO DE RESULTADOS POR NATUREZA</t>
  </si>
  <si>
    <t>PROVEITOS E GANHOS POR NATUREZA</t>
  </si>
  <si>
    <t>3.1</t>
  </si>
  <si>
    <t>Vendas</t>
  </si>
  <si>
    <t>3.1.1</t>
  </si>
  <si>
    <t xml:space="preserve">    Produtos acabados e intermédios</t>
  </si>
  <si>
    <t>61.1</t>
  </si>
  <si>
    <t>3.1.2</t>
  </si>
  <si>
    <t xml:space="preserve">    Subprodutos, desperdícios, resíduos e refugos</t>
  </si>
  <si>
    <t>61.2</t>
  </si>
  <si>
    <t>3.1.3</t>
  </si>
  <si>
    <t xml:space="preserve">    Mercadorias</t>
  </si>
  <si>
    <t>61.3</t>
  </si>
  <si>
    <t>3.1.4</t>
  </si>
  <si>
    <t xml:space="preserve">    Embalagens de consumo</t>
  </si>
  <si>
    <t>61.4</t>
  </si>
  <si>
    <t>3.1.5</t>
  </si>
  <si>
    <t xml:space="preserve">    Subsídios a preços</t>
  </si>
  <si>
    <t>61.5</t>
  </si>
  <si>
    <t>3.1.6</t>
  </si>
  <si>
    <t xml:space="preserve">    Devoluções</t>
  </si>
  <si>
    <t>61.7</t>
  </si>
  <si>
    <t>3.1.7</t>
  </si>
  <si>
    <t xml:space="preserve">    Descontos e abatimentos</t>
  </si>
  <si>
    <t>61.8</t>
  </si>
  <si>
    <t>3.1.8</t>
  </si>
  <si>
    <t xml:space="preserve">    Transferência para resultados operacionais</t>
  </si>
  <si>
    <t>61.9</t>
  </si>
  <si>
    <t>3.2</t>
  </si>
  <si>
    <t>Prestações de serviço</t>
  </si>
  <si>
    <t>3.2.1</t>
  </si>
  <si>
    <t xml:space="preserve">    Serviços principais</t>
  </si>
  <si>
    <t>62.1</t>
  </si>
  <si>
    <t>3.2.2</t>
  </si>
  <si>
    <t xml:space="preserve">    Serviços secundários</t>
  </si>
  <si>
    <t>62.2</t>
  </si>
  <si>
    <t>3.2.3</t>
  </si>
  <si>
    <t>62.8</t>
  </si>
  <si>
    <t>3.2.4</t>
  </si>
  <si>
    <t>62.9</t>
  </si>
  <si>
    <t>3.3</t>
  </si>
  <si>
    <t>Outros proveitos operacionais</t>
  </si>
  <si>
    <t>3.3.1</t>
  </si>
  <si>
    <t xml:space="preserve">    Serviços suplementares</t>
  </si>
  <si>
    <t>63.1</t>
  </si>
  <si>
    <t>3.3.2</t>
  </si>
  <si>
    <t xml:space="preserve">    Royalties</t>
  </si>
  <si>
    <t>63.2</t>
  </si>
  <si>
    <t>3.3.3</t>
  </si>
  <si>
    <t xml:space="preserve">    Subsídios à exploração</t>
  </si>
  <si>
    <t>63.3</t>
  </si>
  <si>
    <t>3.3.4</t>
  </si>
  <si>
    <t xml:space="preserve">    Subsídios a investimentos</t>
  </si>
  <si>
    <t>63.4</t>
  </si>
  <si>
    <t>3.3.5</t>
  </si>
  <si>
    <t xml:space="preserve">    IVA</t>
  </si>
  <si>
    <t>63.5</t>
  </si>
  <si>
    <t>3.3.6</t>
  </si>
  <si>
    <t xml:space="preserve">    Outros proveitos e ganhos operacionais</t>
  </si>
  <si>
    <t>63.8</t>
  </si>
  <si>
    <t>3.3.7</t>
  </si>
  <si>
    <t xml:space="preserve">   Transferência para resultados operacionais</t>
  </si>
  <si>
    <t>63.9</t>
  </si>
  <si>
    <t>3.4</t>
  </si>
  <si>
    <t>Variações nos produtos acabados e produtos em vias de fabrico</t>
  </si>
  <si>
    <t>3.4.1</t>
  </si>
  <si>
    <t xml:space="preserve">    Produtos e trabalhos em curso</t>
  </si>
  <si>
    <t>64.1</t>
  </si>
  <si>
    <t>3.4.2</t>
  </si>
  <si>
    <t>64.2</t>
  </si>
  <si>
    <t>3.4.3</t>
  </si>
  <si>
    <t xml:space="preserve">    Produtos intermédios</t>
  </si>
  <si>
    <t>64.3</t>
  </si>
  <si>
    <t>3.4.4</t>
  </si>
  <si>
    <t>64.9</t>
  </si>
  <si>
    <t>3.5</t>
  </si>
  <si>
    <t>Trabalhos para a própria empresa</t>
  </si>
  <si>
    <t>3.5.1</t>
  </si>
  <si>
    <t xml:space="preserve">    Para imobilizado</t>
  </si>
  <si>
    <t>65.1</t>
  </si>
  <si>
    <t>3.5.2</t>
  </si>
  <si>
    <t xml:space="preserve">    Para encargos a repartir por exercícios futuros</t>
  </si>
  <si>
    <t>65.2</t>
  </si>
  <si>
    <t>3.6</t>
  </si>
  <si>
    <t>Proveitos e ganhos financeiros</t>
  </si>
  <si>
    <t>3.6.1</t>
  </si>
  <si>
    <t xml:space="preserve">    Proveitos e ganhos financeiros gerais</t>
  </si>
  <si>
    <t>3.6.1.1</t>
  </si>
  <si>
    <t xml:space="preserve">        Juros</t>
  </si>
  <si>
    <t>66.1</t>
  </si>
  <si>
    <t>3.6.1.2</t>
  </si>
  <si>
    <t xml:space="preserve">        Diferenças de câmbio favoráveis</t>
  </si>
  <si>
    <t>66.2</t>
  </si>
  <si>
    <t>3.6.1.3</t>
  </si>
  <si>
    <t xml:space="preserve">        Descontos de pronto pagamento obtidos</t>
  </si>
  <si>
    <t>66.3</t>
  </si>
  <si>
    <t>3.6.1.4</t>
  </si>
  <si>
    <t xml:space="preserve">        Rendimentos de investimentos em imóveis</t>
  </si>
  <si>
    <t>66.4</t>
  </si>
  <si>
    <t>3.6.1.5</t>
  </si>
  <si>
    <t xml:space="preserve">        Rendimento de participações de capital</t>
  </si>
  <si>
    <t>66.5</t>
  </si>
  <si>
    <t>3.6.1.6</t>
  </si>
  <si>
    <t xml:space="preserve">        Ganhos na alienação de aplicações financeiras</t>
  </si>
  <si>
    <t>66.6</t>
  </si>
  <si>
    <t>3.6.1.7</t>
  </si>
  <si>
    <t xml:space="preserve">        Redução de provisões</t>
  </si>
  <si>
    <t>66.7</t>
  </si>
  <si>
    <t>3.6.2</t>
  </si>
  <si>
    <t xml:space="preserve">    Proveitos e ganhos financeiros em subsidiárias e associadas</t>
  </si>
  <si>
    <t>3.6.2.1</t>
  </si>
  <si>
    <t>67.1</t>
  </si>
  <si>
    <t>3.6.2.2</t>
  </si>
  <si>
    <t xml:space="preserve">        Transferência para resultados em filiais e associadas</t>
  </si>
  <si>
    <t>67.2</t>
  </si>
  <si>
    <t>3.7</t>
  </si>
  <si>
    <t>Outros proveitos e ganhos não operacionais</t>
  </si>
  <si>
    <t>3.7.1</t>
  </si>
  <si>
    <t xml:space="preserve">    Redução de provisões</t>
  </si>
  <si>
    <t>68.1</t>
  </si>
  <si>
    <t>3.7.2</t>
  </si>
  <si>
    <t xml:space="preserve">    Anulação de amortizações extraordinárias</t>
  </si>
  <si>
    <t>68.2</t>
  </si>
  <si>
    <t>3.7.3</t>
  </si>
  <si>
    <t xml:space="preserve">    Ganhos em imobilizações</t>
  </si>
  <si>
    <t>68.3</t>
  </si>
  <si>
    <t>3.7.4</t>
  </si>
  <si>
    <t xml:space="preserve">    Ganhos em existências</t>
  </si>
  <si>
    <t>68.4</t>
  </si>
  <si>
    <t>3.7.5</t>
  </si>
  <si>
    <t xml:space="preserve">    Recuperação de dívidas</t>
  </si>
  <si>
    <t>68.5</t>
  </si>
  <si>
    <t>3.7.6</t>
  </si>
  <si>
    <t xml:space="preserve">    Benefícios de penalidades contratuais</t>
  </si>
  <si>
    <t>68.6</t>
  </si>
  <si>
    <t>3.7.7</t>
  </si>
  <si>
    <t xml:space="preserve">    Descontinuidade de operações</t>
  </si>
  <si>
    <t>68.8</t>
  </si>
  <si>
    <t>3.7.8</t>
  </si>
  <si>
    <t>68.9</t>
  </si>
  <si>
    <t>3.7.9</t>
  </si>
  <si>
    <t xml:space="preserve">    Correcções relativas a períodos anteriores</t>
  </si>
  <si>
    <t>68.10</t>
  </si>
  <si>
    <t>3.7.10</t>
  </si>
  <si>
    <t xml:space="preserve">    Outros ganhos e perdas não operacionais</t>
  </si>
  <si>
    <t>68.11</t>
  </si>
  <si>
    <t>3.7.11</t>
  </si>
  <si>
    <t xml:space="preserve">   Transferência para resultados não operacionais</t>
  </si>
  <si>
    <t>68.19</t>
  </si>
  <si>
    <t>3.8</t>
  </si>
  <si>
    <t>Proveitos e ganhos extraordinários</t>
  </si>
  <si>
    <t>3.8.1</t>
  </si>
  <si>
    <t xml:space="preserve">    Ganhos resultantes de catástrofes naturais</t>
  </si>
  <si>
    <t>69.1</t>
  </si>
  <si>
    <t>3.8.2</t>
  </si>
  <si>
    <t xml:space="preserve">    Ganhos resultantes de convulsões políticas</t>
  </si>
  <si>
    <t>69.2</t>
  </si>
  <si>
    <t>3.8.3</t>
  </si>
  <si>
    <t xml:space="preserve">    Ganhos resultantes de expropriações</t>
  </si>
  <si>
    <t>69.3</t>
  </si>
  <si>
    <t>3.8.4</t>
  </si>
  <si>
    <t xml:space="preserve">    Ganhos resultantes de sinistros</t>
  </si>
  <si>
    <t>69.4</t>
  </si>
  <si>
    <t>3.8.5</t>
  </si>
  <si>
    <t xml:space="preserve">    Subsídios</t>
  </si>
  <si>
    <t>69.5</t>
  </si>
  <si>
    <t>3.8.6</t>
  </si>
  <si>
    <t xml:space="preserve">    Anulação de passivos não exigíveis</t>
  </si>
  <si>
    <t>69.6</t>
  </si>
  <si>
    <t>3.8.7</t>
  </si>
  <si>
    <t xml:space="preserve">    Transferência para resultados extraordinários</t>
  </si>
  <si>
    <t>69.9</t>
  </si>
  <si>
    <t>CUSTOS E PERDAS POR NATUREZA</t>
  </si>
  <si>
    <t>4.1</t>
  </si>
  <si>
    <t>Custo das mercadorias vendidas e das matérias-primas e subsidiárias consumidas</t>
  </si>
  <si>
    <t>4.1.1</t>
  </si>
  <si>
    <t xml:space="preserve">    Matérias-primas</t>
  </si>
  <si>
    <t>71.1</t>
  </si>
  <si>
    <t>4.1.2</t>
  </si>
  <si>
    <t xml:space="preserve">    Matérias subsidiárias</t>
  </si>
  <si>
    <t>71.2</t>
  </si>
  <si>
    <t>4.1.3</t>
  </si>
  <si>
    <t xml:space="preserve">    Materiais diversos</t>
  </si>
  <si>
    <t>71.3</t>
  </si>
  <si>
    <t>4.1.4</t>
  </si>
  <si>
    <t>71.4</t>
  </si>
  <si>
    <t>4.1.5</t>
  </si>
  <si>
    <t xml:space="preserve">    Outros materiais</t>
  </si>
  <si>
    <t>71.5</t>
  </si>
  <si>
    <t>4.1.6</t>
  </si>
  <si>
    <t>71.9</t>
  </si>
  <si>
    <t>4.2</t>
  </si>
  <si>
    <t>Custos com o pessoal</t>
  </si>
  <si>
    <t>4.2.1</t>
  </si>
  <si>
    <t xml:space="preserve">    Remunerações - órgãos sociais</t>
  </si>
  <si>
    <t>72.1</t>
  </si>
  <si>
    <t>4.2.2</t>
  </si>
  <si>
    <t xml:space="preserve">    Remunerações - pessoal</t>
  </si>
  <si>
    <t>72.2</t>
  </si>
  <si>
    <t>4.2.3</t>
  </si>
  <si>
    <t xml:space="preserve">    Pensões</t>
  </si>
  <si>
    <t>72.3</t>
  </si>
  <si>
    <t>4.2.4</t>
  </si>
  <si>
    <t xml:space="preserve">    Prémios para pensões</t>
  </si>
  <si>
    <t>72.4</t>
  </si>
  <si>
    <t>4.2.5</t>
  </si>
  <si>
    <t>72.5</t>
  </si>
  <si>
    <t>4.3</t>
  </si>
  <si>
    <t>Amortizações do exercício</t>
  </si>
  <si>
    <t>4.3.1</t>
  </si>
  <si>
    <t xml:space="preserve">    Imobilizações corpóreas</t>
  </si>
  <si>
    <t>73.1</t>
  </si>
  <si>
    <t>4.3.2</t>
  </si>
  <si>
    <t xml:space="preserve">    Imobilizações incorpóreas</t>
  </si>
  <si>
    <t>73.2</t>
  </si>
  <si>
    <t>4.3.3</t>
  </si>
  <si>
    <t>73.9</t>
  </si>
  <si>
    <t>4.4</t>
  </si>
  <si>
    <t>Outros custos e perdas operacionais</t>
  </si>
  <si>
    <t>4.4.1</t>
  </si>
  <si>
    <t xml:space="preserve">    Subcontratos</t>
  </si>
  <si>
    <t>75.1</t>
  </si>
  <si>
    <t>4.4.2</t>
  </si>
  <si>
    <t xml:space="preserve">    Fornecimentos e serviços de terceiros</t>
  </si>
  <si>
    <t>75.2</t>
  </si>
  <si>
    <t>4.4.3</t>
  </si>
  <si>
    <t xml:space="preserve">    Impostos</t>
  </si>
  <si>
    <t>75.3</t>
  </si>
  <si>
    <t>4.4.4</t>
  </si>
  <si>
    <t xml:space="preserve">    Despesas confidenciais</t>
  </si>
  <si>
    <t>75.4</t>
  </si>
  <si>
    <t>4.4.5</t>
  </si>
  <si>
    <t xml:space="preserve">    Quotizações</t>
  </si>
  <si>
    <t>75.5</t>
  </si>
  <si>
    <t>4.4.6</t>
  </si>
  <si>
    <t xml:space="preserve">    Ofertas e amostras de existências</t>
  </si>
  <si>
    <t>75.6</t>
  </si>
  <si>
    <t>4.4.7</t>
  </si>
  <si>
    <t xml:space="preserve">    Outros custos e perdas operacionais</t>
  </si>
  <si>
    <t>75.8</t>
  </si>
  <si>
    <t>4.4.8</t>
  </si>
  <si>
    <t>75.9</t>
  </si>
  <si>
    <t>4.5</t>
  </si>
  <si>
    <t>Custos e perdas financeiras</t>
  </si>
  <si>
    <t>4.5.1</t>
  </si>
  <si>
    <t xml:space="preserve">    Custos e perdas financeiras gerais</t>
  </si>
  <si>
    <t>4.5.1.1</t>
  </si>
  <si>
    <t>76.1</t>
  </si>
  <si>
    <t>4.5.1.2</t>
  </si>
  <si>
    <t xml:space="preserve">        Diferenças de câmbio desfavoráveis</t>
  </si>
  <si>
    <t>76.2</t>
  </si>
  <si>
    <t>4.5.1.3</t>
  </si>
  <si>
    <t xml:space="preserve">        Descontos de pronto pagamento concedidos</t>
  </si>
  <si>
    <t>76.3</t>
  </si>
  <si>
    <t>4.5.1.4</t>
  </si>
  <si>
    <t xml:space="preserve">        Amortizações de investimentos em imóveis</t>
  </si>
  <si>
    <t>76.4</t>
  </si>
  <si>
    <t>4.5.1.5</t>
  </si>
  <si>
    <t xml:space="preserve">        Provisões para aplicações financeiras</t>
  </si>
  <si>
    <t>76.5</t>
  </si>
  <si>
    <t>4.5.1.6</t>
  </si>
  <si>
    <t xml:space="preserve">        Perdas na alienação de aplicações financeiras</t>
  </si>
  <si>
    <t>76.6</t>
  </si>
  <si>
    <t>4.5.1.7</t>
  </si>
  <si>
    <t xml:space="preserve">        Serviços bancários</t>
  </si>
  <si>
    <t>76.7</t>
  </si>
  <si>
    <t>4.5.1.8</t>
  </si>
  <si>
    <t xml:space="preserve">        Transferência para resultados financeiros</t>
  </si>
  <si>
    <t>76.9</t>
  </si>
  <si>
    <t>4.5.2</t>
  </si>
  <si>
    <t xml:space="preserve">    Custos e perdas financeiras em filiais e associadas</t>
  </si>
  <si>
    <t>4.5.2.1</t>
  </si>
  <si>
    <t>77.9</t>
  </si>
  <si>
    <t>4.6</t>
  </si>
  <si>
    <t>Outros custos e perdas não operacionais</t>
  </si>
  <si>
    <t>4.6.1</t>
  </si>
  <si>
    <t xml:space="preserve">    Provisões do exercício</t>
  </si>
  <si>
    <t>78.1</t>
  </si>
  <si>
    <t>4.6.2</t>
  </si>
  <si>
    <t xml:space="preserve">    Amortizações extraordinárias</t>
  </si>
  <si>
    <t>78.2</t>
  </si>
  <si>
    <t>4.6.3</t>
  </si>
  <si>
    <t xml:space="preserve">    Perdas em imobilizações</t>
  </si>
  <si>
    <t>78.3</t>
  </si>
  <si>
    <t>4.6.4</t>
  </si>
  <si>
    <t xml:space="preserve">    Perdas em existências</t>
  </si>
  <si>
    <t>78.4</t>
  </si>
  <si>
    <t>4.6.5</t>
  </si>
  <si>
    <t xml:space="preserve">    Dívidas incobráveis</t>
  </si>
  <si>
    <t>78.5</t>
  </si>
  <si>
    <t>4.6.6</t>
  </si>
  <si>
    <t xml:space="preserve">    Multas e penalidades contratuais</t>
  </si>
  <si>
    <t>78.6</t>
  </si>
  <si>
    <t>4.6.7</t>
  </si>
  <si>
    <t xml:space="preserve">    Custos de reestruturação</t>
  </si>
  <si>
    <t>78.7</t>
  </si>
  <si>
    <t>4.6.8</t>
  </si>
  <si>
    <t>78.8</t>
  </si>
  <si>
    <t>4.6.9</t>
  </si>
  <si>
    <t>78.9</t>
  </si>
  <si>
    <t>4.6.10</t>
  </si>
  <si>
    <t>78.10</t>
  </si>
  <si>
    <t>4.6.11</t>
  </si>
  <si>
    <t xml:space="preserve">    Outros custos e perdas não operacionais</t>
  </si>
  <si>
    <t>78.11</t>
  </si>
  <si>
    <t>4.6.12</t>
  </si>
  <si>
    <t xml:space="preserve">    Transferência para resultados não operacionais</t>
  </si>
  <si>
    <t>78.19</t>
  </si>
  <si>
    <t>4.7</t>
  </si>
  <si>
    <t>Custos e perdas extraordinários</t>
  </si>
  <si>
    <t>4.7.1</t>
  </si>
  <si>
    <t xml:space="preserve">    Perdas resultantes de catástrofes naturais</t>
  </si>
  <si>
    <t>79.1</t>
  </si>
  <si>
    <t>4.7.2</t>
  </si>
  <si>
    <t xml:space="preserve">    Perdas resultantes de convulsões políticas</t>
  </si>
  <si>
    <t>79.2</t>
  </si>
  <si>
    <t>4.7.3</t>
  </si>
  <si>
    <t xml:space="preserve">    Perdas resultantes de expropriações</t>
  </si>
  <si>
    <t>79.3</t>
  </si>
  <si>
    <t>4.7.4</t>
  </si>
  <si>
    <t xml:space="preserve">    Perdas resultantes de sinistros</t>
  </si>
  <si>
    <t>79.4</t>
  </si>
  <si>
    <t>4.7.5</t>
  </si>
  <si>
    <t>79.5</t>
  </si>
  <si>
    <t>Resultados Operacionais</t>
  </si>
  <si>
    <t>Resultados financeiros</t>
  </si>
  <si>
    <t>Resultados de filiais e associadas</t>
  </si>
  <si>
    <t>Resultados não operacionais</t>
  </si>
  <si>
    <t>Resultados antes de impostos</t>
  </si>
  <si>
    <t>Imposto sobre o rendimento</t>
  </si>
  <si>
    <t>Resultados líquidos das actividades correntes</t>
  </si>
  <si>
    <t>Resultados extraordinários</t>
  </si>
  <si>
    <t>Resultados líquidos do exercício</t>
  </si>
  <si>
    <t>BALANCETE INICIAL E FINAL - ANO DE 202---</t>
  </si>
  <si>
    <t>Valor em Kwanzas</t>
  </si>
  <si>
    <t>Conta</t>
  </si>
  <si>
    <t>Designação da Conta</t>
  </si>
  <si>
    <t>Movim. Débito</t>
  </si>
  <si>
    <t>Movim. Crédito</t>
  </si>
  <si>
    <t>Saldo do Ano Corrente</t>
  </si>
  <si>
    <t>Saldo do Ano Anterior</t>
  </si>
  <si>
    <t>1</t>
  </si>
  <si>
    <t>Meios Fixos e Investimentos</t>
  </si>
  <si>
    <t>11</t>
  </si>
  <si>
    <t>Imobilizações Corpóreas</t>
  </si>
  <si>
    <t>111</t>
  </si>
  <si>
    <t>Terrenos e recursos naturais</t>
  </si>
  <si>
    <t>Terrenos em bruto</t>
  </si>
  <si>
    <t>Terrenos com arranjos</t>
  </si>
  <si>
    <t>Subsolos</t>
  </si>
  <si>
    <t>1114</t>
  </si>
  <si>
    <t>Terrenos com edíficios</t>
  </si>
  <si>
    <t>112</t>
  </si>
  <si>
    <t>Edíficios e outras construções</t>
  </si>
  <si>
    <t>1121</t>
  </si>
  <si>
    <t>Edíficos</t>
  </si>
  <si>
    <t>Outras construções</t>
  </si>
  <si>
    <t>Instalações</t>
  </si>
  <si>
    <t>113</t>
  </si>
  <si>
    <t>Equipamento básico</t>
  </si>
  <si>
    <t>1131</t>
  </si>
  <si>
    <t>Material industrial</t>
  </si>
  <si>
    <t>1132</t>
  </si>
  <si>
    <t>Ferramentas industriais</t>
  </si>
  <si>
    <t>1133</t>
  </si>
  <si>
    <t>Melhoramentos em equipamentos básicos</t>
  </si>
  <si>
    <t>114</t>
  </si>
  <si>
    <t>Equipamento de carga e transporte</t>
  </si>
  <si>
    <t>Veículos pesados</t>
  </si>
  <si>
    <t>Veículos mistos e ligeiros</t>
  </si>
  <si>
    <t>115</t>
  </si>
  <si>
    <t>Equipamento administrativo</t>
  </si>
  <si>
    <t>1151</t>
  </si>
  <si>
    <t>Equipamento informático</t>
  </si>
  <si>
    <t>1152</t>
  </si>
  <si>
    <t>Equipamento Social</t>
  </si>
  <si>
    <t>1153</t>
  </si>
  <si>
    <t>Mobiliario</t>
  </si>
  <si>
    <t>1154</t>
  </si>
  <si>
    <t>Outros equipamentos administrativos</t>
  </si>
  <si>
    <t>116</t>
  </si>
  <si>
    <t>Taras e vasilhame</t>
  </si>
  <si>
    <t>Embalagens retornáveis</t>
  </si>
  <si>
    <t>Outras taras e outras embalagens</t>
  </si>
  <si>
    <t>119</t>
  </si>
  <si>
    <t>Outras imobilizações corpóreas</t>
  </si>
  <si>
    <t>1191</t>
  </si>
  <si>
    <t>Outras inst. e máquinas de uso especifico</t>
  </si>
  <si>
    <t>1192</t>
  </si>
  <si>
    <t>Outras imobilizações</t>
  </si>
  <si>
    <t>12</t>
  </si>
  <si>
    <t>Imobilizações Incorpóreas</t>
  </si>
  <si>
    <t>121</t>
  </si>
  <si>
    <t>Trespasses</t>
  </si>
  <si>
    <t>Despesas de investigação e desenvolvimento</t>
  </si>
  <si>
    <t>123</t>
  </si>
  <si>
    <t>Propriedade industrial e outros direitos e
contratos</t>
  </si>
  <si>
    <t>1231</t>
  </si>
  <si>
    <t>Licenças informáticas diversas</t>
  </si>
  <si>
    <t>1232</t>
  </si>
  <si>
    <t>Propriedade industrial e outros</t>
  </si>
  <si>
    <t>Despesas de constituição</t>
  </si>
  <si>
    <t>Outras imobilizações incorpóreas</t>
  </si>
  <si>
    <t>13</t>
  </si>
  <si>
    <t>Investimentos Financeiros</t>
  </si>
  <si>
    <t>Empresas subsidiárias</t>
  </si>
  <si>
    <t>Partes de capital</t>
  </si>
  <si>
    <t>Obrigações e outros títulos de participação</t>
  </si>
  <si>
    <t>Empréstimos</t>
  </si>
  <si>
    <t>Adiantamentos por conta de empresas subsidiárias</t>
  </si>
  <si>
    <t>Empresas associadas</t>
  </si>
  <si>
    <t>Outros investimentos financeiros</t>
  </si>
  <si>
    <t>Investimentos em outras empresas</t>
  </si>
  <si>
    <t>Investimentos em imóveis</t>
  </si>
  <si>
    <t>Fundos</t>
  </si>
  <si>
    <t>Adiantamentos por conta de investimentos financeiros</t>
  </si>
  <si>
    <t>Imobilizações em curso</t>
  </si>
  <si>
    <t>Obras em curso</t>
  </si>
  <si>
    <t>Imobilizado por recepcionar</t>
  </si>
  <si>
    <t>Adiantamentos por conta de imobilizações corpóreas</t>
  </si>
  <si>
    <t>Adiantamentos por conta de imobilizações incorpóreas</t>
  </si>
  <si>
    <t>18</t>
  </si>
  <si>
    <t>Amortizações Acumuladas</t>
  </si>
  <si>
    <t>181</t>
  </si>
  <si>
    <t>1812</t>
  </si>
  <si>
    <t>1813</t>
  </si>
  <si>
    <t>1814</t>
  </si>
  <si>
    <t>1815</t>
  </si>
  <si>
    <t>1816</t>
  </si>
  <si>
    <t>1819</t>
  </si>
  <si>
    <t>182</t>
  </si>
  <si>
    <t>Investimentos financeiros em imóveis</t>
  </si>
  <si>
    <t>Edifícios e outras construções</t>
  </si>
  <si>
    <t>Outras empresas</t>
  </si>
  <si>
    <t>2</t>
  </si>
  <si>
    <t>21</t>
  </si>
  <si>
    <t>Compras</t>
  </si>
  <si>
    <t>211</t>
  </si>
  <si>
    <t>Materias-primas, subsidiárias e de consumo</t>
  </si>
  <si>
    <t>212</t>
  </si>
  <si>
    <t>Mercadorias</t>
  </si>
  <si>
    <t>Devoluções de compras</t>
  </si>
  <si>
    <t>Descontos e abatimentos em compras</t>
  </si>
  <si>
    <t>Outros materiais</t>
  </si>
  <si>
    <t>22</t>
  </si>
  <si>
    <t>Matérias-primas, subsidiárias e de consumo</t>
  </si>
  <si>
    <t>221</t>
  </si>
  <si>
    <t>Matérias-primas</t>
  </si>
  <si>
    <t>222</t>
  </si>
  <si>
    <t>Matérias Subsidiárias</t>
  </si>
  <si>
    <t>223</t>
  </si>
  <si>
    <t>Materiais diversos</t>
  </si>
  <si>
    <t>Embalagens de consumo</t>
  </si>
  <si>
    <t>225</t>
  </si>
  <si>
    <t>Produtos e trabalhos em curso</t>
  </si>
  <si>
    <t>Produtos em curso</t>
  </si>
  <si>
    <t>Trabalhos em curso</t>
  </si>
  <si>
    <t>Produtos acabados e intermédios</t>
  </si>
  <si>
    <t>Produtos acabados</t>
  </si>
  <si>
    <t>Produtos intermédios</t>
  </si>
  <si>
    <t>Em poder de terceiros</t>
  </si>
  <si>
    <t>Subprodutos, desperdícios, resíduos e refugos</t>
  </si>
  <si>
    <t>Subprodutos</t>
  </si>
  <si>
    <t>Desperdícios, resíduos e refugos</t>
  </si>
  <si>
    <t>Mercadorias 1</t>
  </si>
  <si>
    <t>Mercadorias 2</t>
  </si>
  <si>
    <t>Matérias-primas, mercadorias e outros materiais em trânsito</t>
  </si>
  <si>
    <t>Matérias -primas</t>
  </si>
  <si>
    <t>Adiantamentos por conta de compras</t>
  </si>
  <si>
    <t>Matérias-primas e outros materiais</t>
  </si>
  <si>
    <t>Provisões para depreciação de existências</t>
  </si>
  <si>
    <t>…</t>
  </si>
  <si>
    <t>3</t>
  </si>
  <si>
    <t>Terceiros</t>
  </si>
  <si>
    <t>31</t>
  </si>
  <si>
    <t>Clientes</t>
  </si>
  <si>
    <t>311</t>
  </si>
  <si>
    <t>Clientes - correntes</t>
  </si>
  <si>
    <t>312</t>
  </si>
  <si>
    <t>Clientes - titulos a receber</t>
  </si>
  <si>
    <t>Clientes - títulos descontados</t>
  </si>
  <si>
    <t>318</t>
  </si>
  <si>
    <t>Clientes de cobrança duvidosa</t>
  </si>
  <si>
    <t>319</t>
  </si>
  <si>
    <t>Clientes - saldo credores</t>
  </si>
  <si>
    <t>32</t>
  </si>
  <si>
    <t>Fornecedores</t>
  </si>
  <si>
    <t>321</t>
  </si>
  <si>
    <t>Fornecedores - correntes</t>
  </si>
  <si>
    <t>Fornecedores - títulos a pagar</t>
  </si>
  <si>
    <t>328</t>
  </si>
  <si>
    <t>Fornecedores - facturas em recepção e
conferência</t>
  </si>
  <si>
    <t>329</t>
  </si>
  <si>
    <t>Fornecedores - Saldo devedores</t>
  </si>
  <si>
    <t>Empréstimos bancários</t>
  </si>
  <si>
    <t>Empréstimos por obrigações</t>
  </si>
  <si>
    <t>Empréstimos por títulos de participação</t>
  </si>
  <si>
    <t>Outros empréstimos obtidos</t>
  </si>
  <si>
    <t>34</t>
  </si>
  <si>
    <t>Estado</t>
  </si>
  <si>
    <t>341</t>
  </si>
  <si>
    <t>Impostos sobre os lucros</t>
  </si>
  <si>
    <t>342</t>
  </si>
  <si>
    <t>Imposto de produção e consumo</t>
  </si>
  <si>
    <t>343</t>
  </si>
  <si>
    <t>Imposto de rendimento de trabalho</t>
  </si>
  <si>
    <t>344</t>
  </si>
  <si>
    <t>Imposto de circulação</t>
  </si>
  <si>
    <t>345</t>
  </si>
  <si>
    <t>IVA - Imposto sobre o valor acrescentado</t>
  </si>
  <si>
    <t>3451</t>
  </si>
  <si>
    <t>IVA suportado</t>
  </si>
  <si>
    <t>3452</t>
  </si>
  <si>
    <t>IVA dedutível</t>
  </si>
  <si>
    <t>3453</t>
  </si>
  <si>
    <t>IVA liquidado</t>
  </si>
  <si>
    <t>3454</t>
  </si>
  <si>
    <t>IVA regularizações</t>
  </si>
  <si>
    <t>3455</t>
  </si>
  <si>
    <t>IVA apuramento</t>
  </si>
  <si>
    <t>3456</t>
  </si>
  <si>
    <t>IVA a pagar</t>
  </si>
  <si>
    <t>3457</t>
  </si>
  <si>
    <t>IVA a recuperar</t>
  </si>
  <si>
    <t>Reembolsos pedidos</t>
  </si>
  <si>
    <t>IVA liquidações oficiosas</t>
  </si>
  <si>
    <t>Certificado de crédito fiscal a compensar</t>
  </si>
  <si>
    <t>Subsídios a preços</t>
  </si>
  <si>
    <t>349</t>
  </si>
  <si>
    <t>Outros impostos</t>
  </si>
  <si>
    <t>Financiamento saldos ex.ENE</t>
  </si>
  <si>
    <t>Segurança social</t>
  </si>
  <si>
    <t>Imposto predial</t>
  </si>
  <si>
    <t>Entidades participantes e participadas</t>
  </si>
  <si>
    <t>Entidades participantes</t>
  </si>
  <si>
    <t>Entidades participadas</t>
  </si>
  <si>
    <t>36</t>
  </si>
  <si>
    <t>Pessoal</t>
  </si>
  <si>
    <t>361</t>
  </si>
  <si>
    <t>Pessoal - Remunerações</t>
  </si>
  <si>
    <t>3611</t>
  </si>
  <si>
    <t>Pessoal - Remunerações - Órgãos sociais</t>
  </si>
  <si>
    <t>3612</t>
  </si>
  <si>
    <t>Pessoal - Remunerações - Empregados</t>
  </si>
  <si>
    <t>Pessoal - Participação nos resultados</t>
  </si>
  <si>
    <t>Órgãos sociais</t>
  </si>
  <si>
    <t>Empregados</t>
  </si>
  <si>
    <t>363</t>
  </si>
  <si>
    <t>Pessoal - Adiantamentos</t>
  </si>
  <si>
    <t>3631</t>
  </si>
  <si>
    <t>Orgãos sociais</t>
  </si>
  <si>
    <t>3632</t>
  </si>
  <si>
    <t>Pessoal - outros</t>
  </si>
  <si>
    <t>37</t>
  </si>
  <si>
    <t>Outros valores a receber e a pagar</t>
  </si>
  <si>
    <t>371</t>
  </si>
  <si>
    <t>Compras de imobilizado</t>
  </si>
  <si>
    <t>3711</t>
  </si>
  <si>
    <t>Corpóreo</t>
  </si>
  <si>
    <t>Incorpóreo</t>
  </si>
  <si>
    <t>Financeiro</t>
  </si>
  <si>
    <t>Venda de imobilizado</t>
  </si>
  <si>
    <t>Proveitos a facturar</t>
  </si>
  <si>
    <t>Prestações de serviços</t>
  </si>
  <si>
    <t>Juros</t>
  </si>
  <si>
    <t>374</t>
  </si>
  <si>
    <t>Encargos a repartir por períodos futuros</t>
  </si>
  <si>
    <t>375</t>
  </si>
  <si>
    <t>Encargos a pagar</t>
  </si>
  <si>
    <t>3751</t>
  </si>
  <si>
    <t>Electricidade</t>
  </si>
  <si>
    <t>Outros</t>
  </si>
  <si>
    <t>376</t>
  </si>
  <si>
    <t>Proveitos a repartir por períodos futuros</t>
  </si>
  <si>
    <t>Prémios de emissão de obrigações</t>
  </si>
  <si>
    <t>Prémios de emissão de títulos de participação</t>
  </si>
  <si>
    <t>Subsídios para investimento</t>
  </si>
  <si>
    <t>Corrente</t>
  </si>
  <si>
    <t>Não corrente</t>
  </si>
  <si>
    <t>Diferenças de câmbio favoráveis reversíveis</t>
  </si>
  <si>
    <t>Subsídio à produção</t>
  </si>
  <si>
    <t>Recebimentos antecipados (diferidos)</t>
  </si>
  <si>
    <t>Contas transitórias</t>
  </si>
  <si>
    <t>Transacções entre a sede e as dependências da empresa</t>
  </si>
  <si>
    <t>379</t>
  </si>
  <si>
    <t>3791</t>
  </si>
  <si>
    <t>3792</t>
  </si>
  <si>
    <t>38</t>
  </si>
  <si>
    <t>Provisões para cobrança duvidosa</t>
  </si>
  <si>
    <t>381</t>
  </si>
  <si>
    <t>Provisões para clientes</t>
  </si>
  <si>
    <t>Clientes - títulos a receber</t>
  </si>
  <si>
    <t>Clientes - cobrança duvidosa</t>
  </si>
  <si>
    <t>Provisões para saldos devedores de fornecedores</t>
  </si>
  <si>
    <t>Provisões para participantes e participadas</t>
  </si>
  <si>
    <t>Provisões para dívidas do pessoal</t>
  </si>
  <si>
    <t>Subsídios a preços devidos até 12 de 2016</t>
  </si>
  <si>
    <t>Provisões para outros valores a receber</t>
  </si>
  <si>
    <t>Vendas de imobilizado</t>
  </si>
  <si>
    <t>Para outros devedores</t>
  </si>
  <si>
    <t>39</t>
  </si>
  <si>
    <t>Provisões para processos judiciais em curso</t>
  </si>
  <si>
    <t>Provisões para acidentes de trabalho</t>
  </si>
  <si>
    <t>Provisões para garantias dadas a clientes</t>
  </si>
  <si>
    <t>4</t>
  </si>
  <si>
    <t>Meios Monetários</t>
  </si>
  <si>
    <t>Títulos negociáveis</t>
  </si>
  <si>
    <t>Acções</t>
  </si>
  <si>
    <t>Obrigações</t>
  </si>
  <si>
    <t>Títulos de dívida pública</t>
  </si>
  <si>
    <t>42</t>
  </si>
  <si>
    <t>Depósitos a prazo</t>
  </si>
  <si>
    <t>421</t>
  </si>
  <si>
    <t>Moeda nacional</t>
  </si>
  <si>
    <t>Moeda estrangeira</t>
  </si>
  <si>
    <t>43</t>
  </si>
  <si>
    <t>Depósitos à ordem</t>
  </si>
  <si>
    <t>431</t>
  </si>
  <si>
    <t>432</t>
  </si>
  <si>
    <t>45</t>
  </si>
  <si>
    <t>Caixa</t>
  </si>
  <si>
    <t>451</t>
  </si>
  <si>
    <t>Fundo fixo</t>
  </si>
  <si>
    <t>Valores para depositar</t>
  </si>
  <si>
    <t>Valores destinados a pagamentos específicos</t>
  </si>
  <si>
    <t>Salários</t>
  </si>
  <si>
    <t>Outros valores</t>
  </si>
  <si>
    <t>48</t>
  </si>
  <si>
    <t>Conta transitória</t>
  </si>
  <si>
    <t>481</t>
  </si>
  <si>
    <t>Banco</t>
  </si>
  <si>
    <t>482</t>
  </si>
  <si>
    <t>Provisões para aplicações de tesouraria</t>
  </si>
  <si>
    <t>Outras aplicações de tesouraria</t>
  </si>
  <si>
    <t>5</t>
  </si>
  <si>
    <t>Capital e Reservas</t>
  </si>
  <si>
    <t>51</t>
  </si>
  <si>
    <t>Capital</t>
  </si>
  <si>
    <t>511</t>
  </si>
  <si>
    <t>Capital próprio</t>
  </si>
  <si>
    <t>Acções/Quotas próprias</t>
  </si>
  <si>
    <t>Valor nominal</t>
  </si>
  <si>
    <t>Descontos</t>
  </si>
  <si>
    <t>Prémios</t>
  </si>
  <si>
    <t>Prémios de emissão</t>
  </si>
  <si>
    <t>Prestações suplementares</t>
  </si>
  <si>
    <t>55</t>
  </si>
  <si>
    <t>Reservas Legais</t>
  </si>
  <si>
    <t>Reservas legais</t>
  </si>
  <si>
    <t>Fundo de investimento</t>
  </si>
  <si>
    <t>Fundo social</t>
  </si>
  <si>
    <t>Reservas de reavaliação</t>
  </si>
  <si>
    <t>Legais</t>
  </si>
  <si>
    <t>Autónomas</t>
  </si>
  <si>
    <t>Reservas com fins especiais</t>
  </si>
  <si>
    <t>Reservas livres</t>
  </si>
  <si>
    <t>Ano 2018</t>
  </si>
  <si>
    <t>Resultado do ano (saldo inicial)</t>
  </si>
  <si>
    <t>Aplicação de resultados</t>
  </si>
  <si>
    <t>Correcções de erros fundamentais, no exercício seguinte</t>
  </si>
  <si>
    <t>Efeito das alterações de políticas contabilísticas (reformas)</t>
  </si>
  <si>
    <t>Imposto relativo a correcções de erros fundamentais</t>
  </si>
  <si>
    <t>Resultado líquido do exercício</t>
  </si>
  <si>
    <t>SALDO DAS CONTAS PATRIMONIAIS</t>
  </si>
  <si>
    <t>6</t>
  </si>
  <si>
    <t>Proveitos e Ganhos por Natureza</t>
  </si>
  <si>
    <t>61</t>
  </si>
  <si>
    <t>611</t>
  </si>
  <si>
    <t xml:space="preserve">Produtos acabados e intermedios </t>
  </si>
  <si>
    <t>617</t>
  </si>
  <si>
    <t>Devoluções</t>
  </si>
  <si>
    <t>62</t>
  </si>
  <si>
    <t>Prestações de Serviço</t>
  </si>
  <si>
    <t>621</t>
  </si>
  <si>
    <t>Serviços principais</t>
  </si>
  <si>
    <t>622</t>
  </si>
  <si>
    <t>Serviços secundários</t>
  </si>
  <si>
    <t>Descontos e abatimentos</t>
  </si>
  <si>
    <t>63</t>
  </si>
  <si>
    <t>631</t>
  </si>
  <si>
    <t>Serviços suplementares</t>
  </si>
  <si>
    <t>Aluguer de equipamento</t>
  </si>
  <si>
    <t>Cedência de pessoal</t>
  </si>
  <si>
    <t>Cedência de energia</t>
  </si>
  <si>
    <t>Estudos, projectos e assistência técnica</t>
  </si>
  <si>
    <t>Royalties</t>
  </si>
  <si>
    <t>Subsídios à exploração</t>
  </si>
  <si>
    <t>634</t>
  </si>
  <si>
    <t>Subsídio a investimento</t>
  </si>
  <si>
    <t>IVA</t>
  </si>
  <si>
    <t>638</t>
  </si>
  <si>
    <t>Outros proveitos e ganhos operacionais</t>
  </si>
  <si>
    <t>Variação nos inventários de prod. acabados e prod. Em curso</t>
  </si>
  <si>
    <t>Para imobilizado</t>
  </si>
  <si>
    <t>Em curso</t>
  </si>
  <si>
    <t>Para encargos a repartir por exercícios futuros</t>
  </si>
  <si>
    <t>66</t>
  </si>
  <si>
    <t>Proveitos e ganhos financeiros gerais</t>
  </si>
  <si>
    <t>661</t>
  </si>
  <si>
    <t>6611</t>
  </si>
  <si>
    <t>De investimentos Financeiros</t>
  </si>
  <si>
    <t>De mora relativos a dívidas de terceiros</t>
  </si>
  <si>
    <t>De aplicações de tesouraria</t>
  </si>
  <si>
    <t>Descontos de títulos</t>
  </si>
  <si>
    <t xml:space="preserve">Diferenças de câmbio favoráveis </t>
  </si>
  <si>
    <t>663</t>
  </si>
  <si>
    <t>Descontos de pronto pagamento obtidos</t>
  </si>
  <si>
    <t>664</t>
  </si>
  <si>
    <t>Rendimentos de investimentos em imóveis</t>
  </si>
  <si>
    <t>Rendimentos de participações de capital</t>
  </si>
  <si>
    <t>Acções, quotas em outras empresas</t>
  </si>
  <si>
    <t>Acções, quotas incluídas nos fundos</t>
  </si>
  <si>
    <t>Acções, quotas incluídas nos títulos negociáveis</t>
  </si>
  <si>
    <t>Ganhos na alienação de aplicações financeiras</t>
  </si>
  <si>
    <t>Investimentos financeiros</t>
  </si>
  <si>
    <t>Redução de provisões</t>
  </si>
  <si>
    <t>Aplicações de tesouraria</t>
  </si>
  <si>
    <t>Proveitos e ganhos financeiros em subsidiárias e associadas</t>
  </si>
  <si>
    <t>Rendimento de participações de capital</t>
  </si>
  <si>
    <t>68</t>
  </si>
  <si>
    <t>Cobranças duvidosas</t>
  </si>
  <si>
    <t>Riscos e encargos</t>
  </si>
  <si>
    <t>Anulação de amortizações extraordinárias</t>
  </si>
  <si>
    <t>Ganhos em imobilizações</t>
  </si>
  <si>
    <t>Ganhos em existências</t>
  </si>
  <si>
    <t>Recuperação de dívidas</t>
  </si>
  <si>
    <t>Benefícios de penalidades contratuais</t>
  </si>
  <si>
    <t>Descontinuidade de operações</t>
  </si>
  <si>
    <t>Alterações de políticas contabilísticas</t>
  </si>
  <si>
    <t>Correcções relativas a exercícios anteriores</t>
  </si>
  <si>
    <t>Outros ganhos e perdas não operacionais</t>
  </si>
  <si>
    <t>Ganhos resultantes de catástrofes naturais</t>
  </si>
  <si>
    <t>Ganhos resultantes de convulsões políticas</t>
  </si>
  <si>
    <t>Ganhos resultantes de expropriações</t>
  </si>
  <si>
    <t>Ganhos resultantes de sinistros</t>
  </si>
  <si>
    <t>Subsídios</t>
  </si>
  <si>
    <t>Anulação de passivos não exigíveis</t>
  </si>
  <si>
    <t>7</t>
  </si>
  <si>
    <t>Custos e Perdas por Natureza</t>
  </si>
  <si>
    <t>71</t>
  </si>
  <si>
    <t>Custo das existências vendidas</t>
  </si>
  <si>
    <t>711</t>
  </si>
  <si>
    <t>Matérias- primas</t>
  </si>
  <si>
    <t>Matérias subsidiárias</t>
  </si>
  <si>
    <t>72</t>
  </si>
  <si>
    <t>721</t>
  </si>
  <si>
    <t>Remunerações - Órgãos sociais</t>
  </si>
  <si>
    <t>722</t>
  </si>
  <si>
    <t>Remunerações - Pessoal</t>
  </si>
  <si>
    <t>Pensões</t>
  </si>
  <si>
    <t>Prémios para pensões</t>
  </si>
  <si>
    <t>Encargos com pessoal</t>
  </si>
  <si>
    <t>Seguro contra acidentes de trabalho</t>
  </si>
  <si>
    <t>Formações</t>
  </si>
  <si>
    <t>Subsídios e outros custos</t>
  </si>
  <si>
    <t>Amortizações acumuladas</t>
  </si>
  <si>
    <t>Propriedade industrial e outros direitos e contratos</t>
  </si>
  <si>
    <t>Subcontratos</t>
  </si>
  <si>
    <t>Fornecimentos e serviços de terceiros</t>
  </si>
  <si>
    <t>Impostos</t>
  </si>
  <si>
    <t>Despesas confidenciais</t>
  </si>
  <si>
    <t>Quotizações</t>
  </si>
  <si>
    <t>Ofertas e amostras de existências</t>
  </si>
  <si>
    <t>Custos e perdas financeiras gerais</t>
  </si>
  <si>
    <t>De empréstimos (obrigações)</t>
  </si>
  <si>
    <t>De descobertos bancários</t>
  </si>
  <si>
    <t>De mora relativos a dívidas a terceiros</t>
  </si>
  <si>
    <t>De desconto de títulos</t>
  </si>
  <si>
    <t>Diferenças de câmbios desfavoráveis</t>
  </si>
  <si>
    <t>Descontos de pronto pagamento concedidos</t>
  </si>
  <si>
    <t>Amortizações de investimentos em imóveis</t>
  </si>
  <si>
    <t>Provisões para aplicações financeiras</t>
  </si>
  <si>
    <t>Perdas na alienação de aplicações financeiras</t>
  </si>
  <si>
    <t>Aplicações de títulos negociáveis</t>
  </si>
  <si>
    <t>Serviços bancários</t>
  </si>
  <si>
    <t>Custos e perdas financeiras em filiais e associadas</t>
  </si>
  <si>
    <t>Custos e perdas financeiras em filiais</t>
  </si>
  <si>
    <t>Custos e perdas financeiras em associadas</t>
  </si>
  <si>
    <t>Provisões do exercício</t>
  </si>
  <si>
    <t>Amortizações extraordinárias</t>
  </si>
  <si>
    <t>Perdas em existências</t>
  </si>
  <si>
    <t>Dívidas incobráveis</t>
  </si>
  <si>
    <t>Multas e penalidades contratuais</t>
  </si>
  <si>
    <t>Custos de reestruturação</t>
  </si>
  <si>
    <t>Perdas resultantes de catástrofes naturais</t>
  </si>
  <si>
    <t>Perdas resultantes de convulsões políticas</t>
  </si>
  <si>
    <t>Perdas resultantes de expropriações</t>
  </si>
  <si>
    <t>Perdas resultantes de sinistros</t>
  </si>
  <si>
    <t>Resultados Líquidos do Exercício</t>
  </si>
  <si>
    <t>8</t>
  </si>
  <si>
    <t>Resultados</t>
  </si>
  <si>
    <t>81</t>
  </si>
  <si>
    <t>Resultados Transitados</t>
  </si>
  <si>
    <t>Ano de 2021</t>
  </si>
  <si>
    <t>82</t>
  </si>
  <si>
    <t>Resultados operacionais</t>
  </si>
  <si>
    <t>821</t>
  </si>
  <si>
    <t>822</t>
  </si>
  <si>
    <t>Prestação de serviços</t>
  </si>
  <si>
    <t>823</t>
  </si>
  <si>
    <t>826</t>
  </si>
  <si>
    <t>Custo das mercadorias vendidas e das matérias consumidas</t>
  </si>
  <si>
    <t>827</t>
  </si>
  <si>
    <t>Custos com pessoal</t>
  </si>
  <si>
    <t>828</t>
  </si>
  <si>
    <t>829</t>
  </si>
  <si>
    <t>Outros custos operacionais</t>
  </si>
  <si>
    <t>83</t>
  </si>
  <si>
    <t>Resultados Financeiros</t>
  </si>
  <si>
    <t>831</t>
  </si>
  <si>
    <t>832</t>
  </si>
  <si>
    <t>Custos e perdas financeiros gerais</t>
  </si>
  <si>
    <t>Resultados financeiros em filiais e associadas</t>
  </si>
  <si>
    <t>Proveitos e ganhos em filiais e associadas</t>
  </si>
  <si>
    <t>Custos e perdas em filiais e associadas</t>
  </si>
  <si>
    <t>85</t>
  </si>
  <si>
    <t>851</t>
  </si>
  <si>
    <t>Proveitos e ganhos não operacionais</t>
  </si>
  <si>
    <t>852</t>
  </si>
  <si>
    <t>Custos e perdas não operacionais</t>
  </si>
  <si>
    <t>87</t>
  </si>
  <si>
    <t>871</t>
  </si>
  <si>
    <t>Imposto sobre os resultados correntes</t>
  </si>
  <si>
    <t>Imposto sobre os resultados extraordinários</t>
  </si>
  <si>
    <t>88</t>
  </si>
  <si>
    <t>OBS: NÃO PREENCHER OS CAMPOS EM AZUL. PREENCHIMENTO AUTOMÁTICO.</t>
  </si>
  <si>
    <t>Ano Corrente</t>
  </si>
  <si>
    <t>Ano Anterior</t>
  </si>
  <si>
    <t xml:space="preserve">Activos Não Correntes </t>
  </si>
  <si>
    <t>Activos Não Correntes - Total</t>
  </si>
  <si>
    <t xml:space="preserve">   Terrenos e recursos naturais</t>
  </si>
  <si>
    <t xml:space="preserve">   Equipamento básico</t>
  </si>
  <si>
    <t xml:space="preserve">   Equipamento de transporte</t>
  </si>
  <si>
    <t>Direitos Realizáveis a Longo Prazo</t>
  </si>
  <si>
    <t xml:space="preserve">   Amortizações acumuladas</t>
  </si>
  <si>
    <t xml:space="preserve">   Despesas de investigação e desenvolvimento</t>
  </si>
  <si>
    <t>Total</t>
  </si>
  <si>
    <t xml:space="preserve">   Adiantamentos por conta de imobilizações incorpóres</t>
  </si>
  <si>
    <t>Valor Total do Ativo Não Corrente</t>
  </si>
  <si>
    <t>1.1.2.8</t>
  </si>
  <si>
    <t>1.1.2.9</t>
  </si>
  <si>
    <t>Investimentos em Subsidiárias e Associadas</t>
  </si>
  <si>
    <t>1.1.3.3</t>
  </si>
  <si>
    <t>Outros Activos Financeiros</t>
  </si>
  <si>
    <t xml:space="preserve">    Fundos - Obrigações</t>
  </si>
  <si>
    <t xml:space="preserve">   Amortizações acumuladas - imóveis</t>
  </si>
  <si>
    <t>1.1.4.9</t>
  </si>
  <si>
    <t>Provisões para Investimentos Financeiros</t>
  </si>
  <si>
    <t>1.1.5.9</t>
  </si>
  <si>
    <t>Outros Activos não Correntes</t>
  </si>
  <si>
    <t>Activos Correntes (Bens e Direitos)</t>
  </si>
  <si>
    <t>Contas dos Activos Correntes - Total</t>
  </si>
  <si>
    <t xml:space="preserve"> Mercadorias</t>
  </si>
  <si>
    <t>Matérias-primas, mercadorias e materiais em trânsito</t>
  </si>
  <si>
    <t>Adiantamentos por conta de de compras</t>
  </si>
  <si>
    <t xml:space="preserve"> Provisão para depreciação de existências</t>
  </si>
  <si>
    <t>1.2.1.9</t>
  </si>
  <si>
    <t>Contas a Receber</t>
  </si>
  <si>
    <t>Direitos Realizáveis a Curto Prazo</t>
  </si>
  <si>
    <t xml:space="preserve"> Clientes-correntes</t>
  </si>
  <si>
    <t>Fornecedores - saldos devedores</t>
  </si>
  <si>
    <t>Participantes e participadas</t>
  </si>
  <si>
    <t>Valor Total do Activo Corrente</t>
  </si>
  <si>
    <t>Devedores - venda de imobilizado</t>
  </si>
  <si>
    <t xml:space="preserve">Outros devedores </t>
  </si>
  <si>
    <t xml:space="preserve">    Saldos em bancos - a prazo</t>
  </si>
  <si>
    <t xml:space="preserve">    Saldos em bancos - a ordem</t>
  </si>
  <si>
    <t>1.2.3.6</t>
  </si>
  <si>
    <t xml:space="preserve">   Conta transitória</t>
  </si>
  <si>
    <t>1.2.3.7</t>
  </si>
  <si>
    <t xml:space="preserve">   Proveitos a faturar - encargos a repartir por exercícios futuros</t>
  </si>
  <si>
    <t>1.2.4.4</t>
  </si>
  <si>
    <t>1.2.5</t>
  </si>
  <si>
    <t>Liquidação provisória de imposto industrial</t>
  </si>
  <si>
    <t>Subsídio a preços</t>
  </si>
  <si>
    <t>Capital Próprio</t>
  </si>
  <si>
    <t>Contas do Capital próprio</t>
  </si>
  <si>
    <t>2.1.1.5</t>
  </si>
  <si>
    <t>Valor Total do Capital Próprio</t>
  </si>
  <si>
    <t>2.1.2.5</t>
  </si>
  <si>
    <t>2.1.3.7</t>
  </si>
  <si>
    <t>2.1.4.1</t>
  </si>
  <si>
    <t>2.1.4.2</t>
  </si>
  <si>
    <t>Debêntures Securitizadas</t>
  </si>
  <si>
    <t>Outros Títulos de Sociedades de Capital de Giro</t>
  </si>
  <si>
    <t>Capital Subscrito a Integralizar</t>
  </si>
  <si>
    <t>Capital Não Subscrito a Realizar</t>
  </si>
  <si>
    <t>Passivo Não Corrente</t>
  </si>
  <si>
    <t>Contas do Passivo Não Corrente</t>
  </si>
  <si>
    <t>2.2.1.5</t>
  </si>
  <si>
    <t>2.2.2.1</t>
  </si>
  <si>
    <t>2.2.2.2</t>
  </si>
  <si>
    <t>Obrigações Realizáveis a Longo Prazo</t>
  </si>
  <si>
    <t>2.2.2.3</t>
  </si>
  <si>
    <t>2.2.2.4</t>
  </si>
  <si>
    <t>2.2.2.5</t>
  </si>
  <si>
    <t>2.2.2.6</t>
  </si>
  <si>
    <t>2.2.2.7</t>
  </si>
  <si>
    <t>2.2.2.8</t>
  </si>
  <si>
    <t>2.2.2.9</t>
  </si>
  <si>
    <t>2.2.3.1</t>
  </si>
  <si>
    <t>2.2.3.2</t>
  </si>
  <si>
    <t>2.2.3.3</t>
  </si>
  <si>
    <t>2.2.3.4</t>
  </si>
  <si>
    <t>Resultado de Exercícios Futuros</t>
  </si>
  <si>
    <t>2.2.3.5</t>
  </si>
  <si>
    <t>2.2.3.6</t>
  </si>
  <si>
    <t>2.2.3.7</t>
  </si>
  <si>
    <t>2.2.3.8</t>
  </si>
  <si>
    <t>2.2.3.9</t>
  </si>
  <si>
    <t>Valor Total do Passivo Não Corrente</t>
  </si>
  <si>
    <t>Provisões para outros riscos e encagos</t>
  </si>
  <si>
    <t>2.2.4.5</t>
  </si>
  <si>
    <t>2.2.5.1</t>
  </si>
  <si>
    <t>Subsídio ao investimento - não corrente</t>
  </si>
  <si>
    <t>2.2.5.2</t>
  </si>
  <si>
    <t>2.2.5.3</t>
  </si>
  <si>
    <t>Passivo Corrente</t>
  </si>
  <si>
    <t>Contas do Passivo Corrente - Total</t>
  </si>
  <si>
    <t>Fornecedores - facturas em recepção e conferência</t>
  </si>
  <si>
    <t xml:space="preserve"> Clientes - saldos credores</t>
  </si>
  <si>
    <t>Subsídio de investimento - corrente</t>
  </si>
  <si>
    <t>Outros credores</t>
  </si>
  <si>
    <t>2.3.1.9</t>
  </si>
  <si>
    <t>Participantes e Participadas</t>
  </si>
  <si>
    <t>Obrigações Realizáveis a Curto Prazo</t>
  </si>
  <si>
    <t>2.3.2.5</t>
  </si>
  <si>
    <t>2.3.2.6</t>
  </si>
  <si>
    <t>2.3.2.7</t>
  </si>
  <si>
    <t>2.3.2.8</t>
  </si>
  <si>
    <t>2.3.2.9</t>
  </si>
  <si>
    <t>Valor Total do Passivo Circulante</t>
  </si>
  <si>
    <t>2.3.3.1</t>
  </si>
  <si>
    <t>Pessoal - remunerações</t>
  </si>
  <si>
    <t>2.3.3.2</t>
  </si>
  <si>
    <t>2.3.3.3</t>
  </si>
  <si>
    <t>Pessoal - adiantamentos</t>
  </si>
  <si>
    <t>2.3.3.4</t>
  </si>
  <si>
    <t>Pessoal - Outros</t>
  </si>
  <si>
    <t>2.3.3.5</t>
  </si>
  <si>
    <t>2.3.3.6</t>
  </si>
  <si>
    <t>2.3.3.7</t>
  </si>
  <si>
    <t>2.3.3.8</t>
  </si>
  <si>
    <t>2.3.3.9</t>
  </si>
  <si>
    <t>Empréstimos de Curto Prazo</t>
  </si>
  <si>
    <t>Empréstimo por título de participação</t>
  </si>
  <si>
    <t>Outros empréstimos</t>
  </si>
  <si>
    <t>2.3.4.5</t>
  </si>
  <si>
    <t>2.3.4.6</t>
  </si>
  <si>
    <t>2.3.4.7</t>
  </si>
  <si>
    <t>2.3.4.8</t>
  </si>
  <si>
    <t>2.3.4.9</t>
  </si>
  <si>
    <t>2.3.5</t>
  </si>
  <si>
    <t>Parte Correspondente dos Empréstimos de Médio e Longo Prazo</t>
  </si>
  <si>
    <t>2.3.5.1</t>
  </si>
  <si>
    <t>2.3.5.2</t>
  </si>
  <si>
    <t>2.3.5.3</t>
  </si>
  <si>
    <t>2.3.5.4</t>
  </si>
  <si>
    <t>2.3.5.5</t>
  </si>
  <si>
    <t>2.3.5.6</t>
  </si>
  <si>
    <t>2.3.5.7</t>
  </si>
  <si>
    <t>2.3.5.8</t>
  </si>
  <si>
    <t>2.3.5.9</t>
  </si>
  <si>
    <t>2.3.6</t>
  </si>
  <si>
    <t>2.3.6.1</t>
  </si>
  <si>
    <t>Impostos sobre lucros</t>
  </si>
  <si>
    <t>2.3.6.2</t>
  </si>
  <si>
    <t>2.3.6.3</t>
  </si>
  <si>
    <t>2.3.6.4</t>
  </si>
  <si>
    <t>Imposto sobre veículos motorizados</t>
  </si>
  <si>
    <t>2.3.6.5</t>
  </si>
  <si>
    <t>Retenções de impostos - Segurança social</t>
  </si>
  <si>
    <t>2.3.6.6</t>
  </si>
  <si>
    <t>2.3.6.7</t>
  </si>
  <si>
    <t>2.3.6.8</t>
  </si>
  <si>
    <t>2.3.6.9</t>
  </si>
  <si>
    <t>2.3.7</t>
  </si>
  <si>
    <t>Outros Passivos Correntes</t>
  </si>
  <si>
    <t>2.3.7.1</t>
  </si>
  <si>
    <t>2.3.7.2</t>
  </si>
  <si>
    <t>Proveitos a pagar por exercícios futuros</t>
  </si>
  <si>
    <t>2.3.7.4</t>
  </si>
  <si>
    <t>2.3.7.5</t>
  </si>
  <si>
    <t>Outros valores a pagar</t>
  </si>
  <si>
    <t>2.3.7.6</t>
  </si>
  <si>
    <t>2.3.7.7</t>
  </si>
  <si>
    <t>Acerto</t>
  </si>
  <si>
    <t>2.3.7.8</t>
  </si>
  <si>
    <t>2.3.7.9</t>
  </si>
  <si>
    <t>OBS: PLANILHA AUTOMÁTICA. NÃO PREENCHER NENHUM CAMPO.</t>
  </si>
  <si>
    <t xml:space="preserve">Contas do Activo Não Corrente  </t>
  </si>
  <si>
    <t>Total apresentado pela entidade</t>
  </si>
  <si>
    <t>Diferença</t>
  </si>
  <si>
    <t>Contas do Activo Corrente</t>
  </si>
  <si>
    <t>Contas do Passivo Corrente</t>
  </si>
  <si>
    <t>Contas do Capital Próprio</t>
  </si>
  <si>
    <t>Total do Balanço Patrimonial</t>
  </si>
  <si>
    <t>Activo</t>
  </si>
  <si>
    <t>Capital Próprio + Passivo</t>
  </si>
  <si>
    <t>Resultado</t>
  </si>
  <si>
    <t>Contas de Proveitos e Ganhos por Natureza - Total</t>
  </si>
  <si>
    <t>3.1.9</t>
  </si>
  <si>
    <t>Valor Total das Contas de Receitas</t>
  </si>
  <si>
    <t>Serviços Secundários</t>
  </si>
  <si>
    <t>3.2.9</t>
  </si>
  <si>
    <t>Outros Proveitos Operacionais</t>
  </si>
  <si>
    <t>Subsídios a investimentos</t>
  </si>
  <si>
    <t>3.3.8</t>
  </si>
  <si>
    <t>3.3.9</t>
  </si>
  <si>
    <t>Varição nos Produtos Acabados e Produtos em Vias de Fabrico</t>
  </si>
  <si>
    <t>Trabalhos para a Própria Empresa</t>
  </si>
  <si>
    <t>Para encargos a repartir por períodos futuros</t>
  </si>
  <si>
    <t>3.5.3</t>
  </si>
  <si>
    <t>Proveitos e Ganhos Financeiros Gerais</t>
  </si>
  <si>
    <t>Diferenças de câmbio favoráveis</t>
  </si>
  <si>
    <t>3.6.3</t>
  </si>
  <si>
    <t>3.6.4</t>
  </si>
  <si>
    <t>3.6.5</t>
  </si>
  <si>
    <t>3.6.6</t>
  </si>
  <si>
    <t>3.6.7</t>
  </si>
  <si>
    <t>3.6.9</t>
  </si>
  <si>
    <t>Proveitos e Ganhos Financeiros em Susidiárias e Associadas</t>
  </si>
  <si>
    <t>Outros Proveitos e Ganhos não Operacionais</t>
  </si>
  <si>
    <t>Anulação de provisões extraordinárias</t>
  </si>
  <si>
    <t>3.8.8</t>
  </si>
  <si>
    <t>3.8.9</t>
  </si>
  <si>
    <t>Correcções relativas a períodos anteriores</t>
  </si>
  <si>
    <t>3.8.10</t>
  </si>
  <si>
    <t>3.8.11</t>
  </si>
  <si>
    <t>3.9</t>
  </si>
  <si>
    <t>Proveitos e Ganhos Extraordinários</t>
  </si>
  <si>
    <t>3.9.1</t>
  </si>
  <si>
    <t>3.9.2</t>
  </si>
  <si>
    <t>3.9.3</t>
  </si>
  <si>
    <t>3.9.4</t>
  </si>
  <si>
    <t>3.9.5</t>
  </si>
  <si>
    <t>3.9.6</t>
  </si>
  <si>
    <t>3.9.7</t>
  </si>
  <si>
    <t>Custos e Perdas por Natureza - Total</t>
  </si>
  <si>
    <t>Custo das Mercadorias Vendidas e das Matérias-primas Consumidas</t>
  </si>
  <si>
    <t>4.1.7</t>
  </si>
  <si>
    <t>4.1.8</t>
  </si>
  <si>
    <t>4.1.9</t>
  </si>
  <si>
    <t>Custos com o Pessoal</t>
  </si>
  <si>
    <t>Total Contas de Custos e Perdas</t>
  </si>
  <si>
    <t>Remunerações - órgãos sociais</t>
  </si>
  <si>
    <t>Remunerações - pessoal</t>
  </si>
  <si>
    <t>Encargos sobre remunerações</t>
  </si>
  <si>
    <t>4.2.6</t>
  </si>
  <si>
    <t>Seguros de acidentes de trabalho e doenças profissionais</t>
  </si>
  <si>
    <t>4.2.7</t>
  </si>
  <si>
    <t>4.2.8</t>
  </si>
  <si>
    <t>4.2.9</t>
  </si>
  <si>
    <t>Amortizações do Exercício</t>
  </si>
  <si>
    <t>4.3.4</t>
  </si>
  <si>
    <t>4.3.5</t>
  </si>
  <si>
    <t>4.3.6</t>
  </si>
  <si>
    <t>4.3.7</t>
  </si>
  <si>
    <t>4.3.8</t>
  </si>
  <si>
    <t>4.3.9</t>
  </si>
  <si>
    <t>Outros Custos e Perdas Operacionais</t>
  </si>
  <si>
    <t>4.4.9</t>
  </si>
  <si>
    <t>Custos e Perdas Financeiras Gerais</t>
  </si>
  <si>
    <t xml:space="preserve">Juros </t>
  </si>
  <si>
    <t>Diferenças de câmbio desfavoráveis</t>
  </si>
  <si>
    <t>4.5.3</t>
  </si>
  <si>
    <t>4.5.4</t>
  </si>
  <si>
    <t>4.5.5</t>
  </si>
  <si>
    <t>4.5.6</t>
  </si>
  <si>
    <t>4.5.7</t>
  </si>
  <si>
    <t>4.5.8</t>
  </si>
  <si>
    <t>4.5.9</t>
  </si>
  <si>
    <t>Custos e Perdas Financeiras para Filiais e Associadas</t>
  </si>
  <si>
    <t>Outros Custos e Perdas não Operacionais</t>
  </si>
  <si>
    <t>Perdas em imobilizações</t>
  </si>
  <si>
    <t>4.7.6</t>
  </si>
  <si>
    <t>4.7.7</t>
  </si>
  <si>
    <t>4.7.8</t>
  </si>
  <si>
    <t>4.7.9</t>
  </si>
  <si>
    <t>Alteração de políticas contabilísticas</t>
  </si>
  <si>
    <t>4.7.10</t>
  </si>
  <si>
    <t>4.7.11</t>
  </si>
  <si>
    <t>Outros custos e eerdas não operacionais</t>
  </si>
  <si>
    <t>4.7.12</t>
  </si>
  <si>
    <t>4.8</t>
  </si>
  <si>
    <t>Custos e Perdas Extraordinários</t>
  </si>
  <si>
    <t>4.8.1</t>
  </si>
  <si>
    <t>4.8.2</t>
  </si>
  <si>
    <t>4.8.3</t>
  </si>
  <si>
    <t>4.8.4</t>
  </si>
  <si>
    <t>4.8.5</t>
  </si>
  <si>
    <t>4.8.6</t>
  </si>
  <si>
    <t>Contas de Custos e Perdas por Natureza - Total</t>
  </si>
  <si>
    <t>Contas de Resultado Credora (Receitas) - Resultado</t>
  </si>
  <si>
    <t>Contas de Resultado Devedoras  (Custos e Despesas) - Resultado</t>
  </si>
  <si>
    <t>Demonstração do Resultado do Exercício (DRE)</t>
  </si>
  <si>
    <t>Proveitos por Natureza</t>
  </si>
  <si>
    <t>Custos por Natureza</t>
  </si>
  <si>
    <t>Resultado do Exercício</t>
  </si>
  <si>
    <t>Resultados Não Operacionais</t>
  </si>
  <si>
    <t>Resultados Antes de Impostps</t>
  </si>
  <si>
    <t>Imposto sobre o Rendimento</t>
  </si>
  <si>
    <t>Resultados Líquidos das Actividades Correntes</t>
  </si>
  <si>
    <t>1 - ATIVO CIRCULANTE</t>
  </si>
  <si>
    <t>1.1 - ATIVO NÃO CIRCULANTE</t>
  </si>
  <si>
    <t>1.2 - PASSIVO CIRCULANTE</t>
  </si>
  <si>
    <t>1.3 - PASSIVO NÃO CIRCULANTE</t>
  </si>
  <si>
    <t>Balanço Patrimonial</t>
  </si>
  <si>
    <t>1.4 - BALANÇO Patrimonial</t>
  </si>
  <si>
    <t>2 - RECEITAS - DRE</t>
  </si>
  <si>
    <t>2.1 - DESPESAS (DRE)</t>
  </si>
  <si>
    <t>2.2 - DEMONSTRAÇÃO DE RESULTADO DE EXERCÍCIO (DRE)</t>
  </si>
  <si>
    <t>Endividamento por capital de terceiros</t>
  </si>
  <si>
    <t>Análise</t>
  </si>
  <si>
    <t>Exigível a Longo Prazo</t>
  </si>
  <si>
    <t>Endividamento Financeiro x Capital de Terceiros</t>
  </si>
  <si>
    <t>Obrigações Financeiras</t>
  </si>
  <si>
    <t>Endividamento Financeiro x Capital Próprio</t>
  </si>
  <si>
    <t>Composição do Endividamento</t>
  </si>
  <si>
    <t>Activo Não Corrente</t>
  </si>
  <si>
    <t>Liquidez Corrente</t>
  </si>
  <si>
    <t>Activo Corrente</t>
  </si>
  <si>
    <t>Total de Liquidez Corrente</t>
  </si>
  <si>
    <t>Liquidez Imediata</t>
  </si>
  <si>
    <t xml:space="preserve">Disponibilidades </t>
  </si>
  <si>
    <t>Total de Liquidez Imediata</t>
  </si>
  <si>
    <t>Liquidez Seca</t>
  </si>
  <si>
    <t>Total de Liquidez Seca</t>
  </si>
  <si>
    <t>Liquidez Geral</t>
  </si>
  <si>
    <t>Activo Realizável a Longo Prazo</t>
  </si>
  <si>
    <t>Prazo Médio de Recebimento de Vendas</t>
  </si>
  <si>
    <t>Receitas de Vendas</t>
  </si>
  <si>
    <t xml:space="preserve">Prazo Médio de Renovação dos Estoques </t>
  </si>
  <si>
    <t>Custo de Produtos Vendidos</t>
  </si>
  <si>
    <t xml:space="preserve">Prazo Médio de Pagamento de Compras </t>
  </si>
  <si>
    <t>Compras (CMV)</t>
  </si>
  <si>
    <t>Ciclo Financeiro</t>
  </si>
  <si>
    <t>Prazo Médio Renovação dos Estoques</t>
  </si>
  <si>
    <t>Prazo Médio de Pagamento de Compras</t>
  </si>
  <si>
    <t>Ciclo Operacional</t>
  </si>
  <si>
    <t>ROE</t>
  </si>
  <si>
    <t xml:space="preserve">Resultado Líquido do Exercício </t>
  </si>
  <si>
    <t>ROA</t>
  </si>
  <si>
    <t>Interpretação do índice</t>
  </si>
  <si>
    <t>Resultado Líquido do Exercício</t>
  </si>
  <si>
    <t>Activo Total</t>
  </si>
  <si>
    <t>Receita Líquida de Vendas</t>
  </si>
  <si>
    <t xml:space="preserve">Margem Líquida </t>
  </si>
  <si>
    <t>Receita Líquida</t>
  </si>
  <si>
    <t xml:space="preserve">Comentários do Técnico: </t>
  </si>
  <si>
    <t>Nível das Questões</t>
  </si>
  <si>
    <t>Total Questões p/ Nível</t>
  </si>
  <si>
    <t>% Questões p/ Nível</t>
  </si>
  <si>
    <t>Feedback das Questões Identificadas</t>
  </si>
  <si>
    <t>Nível - 1</t>
  </si>
  <si>
    <r>
      <rPr>
        <b/>
        <sz val="14"/>
        <color theme="1"/>
        <rFont val="Calibri"/>
        <family val="2"/>
        <scheme val="minor"/>
      </rPr>
      <t>1 - Em Termos</t>
    </r>
    <r>
      <rPr>
        <sz val="14"/>
        <color theme="1"/>
        <rFont val="Calibri"/>
        <family val="2"/>
        <scheme val="minor"/>
      </rPr>
      <t xml:space="preserve"> - Deverá ser devolvida aos Gestores da Entidade.</t>
    </r>
  </si>
  <si>
    <t>Nível - 2</t>
  </si>
  <si>
    <r>
      <rPr>
        <b/>
        <sz val="14"/>
        <color theme="1"/>
        <rFont val="Calibri"/>
        <family val="2"/>
        <scheme val="minor"/>
      </rPr>
      <t xml:space="preserve">2 - Em Termos com Recomendações </t>
    </r>
    <r>
      <rPr>
        <sz val="14"/>
        <color theme="1"/>
        <rFont val="Calibri"/>
        <family val="2"/>
        <scheme val="minor"/>
      </rPr>
      <t>- A Conta poderá ser considerada em Termos, contudo, deverão ser feitas recomendações para a melhoria da apresentação da mesma.</t>
    </r>
  </si>
  <si>
    <t>Nível - 3</t>
  </si>
  <si>
    <t>QUADRO 1 - Demonstração Numérica - Quantitativa</t>
  </si>
  <si>
    <t>Rubrica</t>
  </si>
  <si>
    <t>Valor Declarado</t>
  </si>
  <si>
    <t>Consolidado TC</t>
  </si>
  <si>
    <t>Média</t>
  </si>
  <si>
    <t>Comparação</t>
  </si>
  <si>
    <t>1 - Total do Activo (BP)</t>
  </si>
  <si>
    <t>2 - Capital Próprio + Passivo (BP)</t>
  </si>
  <si>
    <t>3 - Resultados Líquidos do Exercício (BP)</t>
  </si>
  <si>
    <t>4 - Resultados Líquidos do Exercício (DRE)</t>
  </si>
  <si>
    <t>5 - Caixa e depósitos (Activos correntes) (BP)</t>
  </si>
  <si>
    <t>6 - Somatório da síntese das reconciliações bancárias (SRB).</t>
  </si>
  <si>
    <t>7 - Saldo “Investimentos financeiros” (Activos não Correntes) (BP)</t>
  </si>
  <si>
    <t>8 - Valor Total do Mapa Investimentos Financeiros</t>
  </si>
  <si>
    <t>5 - Valoração</t>
  </si>
  <si>
    <t>QUADRO 2 - Questões Identificadas - (Qualitativa)</t>
  </si>
  <si>
    <t>Questões Identificadas</t>
  </si>
  <si>
    <t>Classificação das Questões</t>
  </si>
  <si>
    <t>Pontuação</t>
  </si>
  <si>
    <t>Tipo de Responsabilidade</t>
  </si>
  <si>
    <t>Sem Gravidade</t>
  </si>
  <si>
    <t>Grave</t>
  </si>
  <si>
    <t>Muito Grave</t>
  </si>
  <si>
    <t>ANÁLISE DOS FLUXOS DE CAIXA DA ENTIDADE</t>
  </si>
  <si>
    <t>Código</t>
  </si>
  <si>
    <t>Descrição</t>
  </si>
  <si>
    <t>Período N</t>
  </si>
  <si>
    <t>Período N-1</t>
  </si>
  <si>
    <t>Bancos</t>
  </si>
  <si>
    <t>Títulos</t>
  </si>
  <si>
    <t>01</t>
  </si>
  <si>
    <t>Actividades Operacionais</t>
  </si>
  <si>
    <t>01111</t>
  </si>
  <si>
    <t>Recebimentos de Clientes</t>
  </si>
  <si>
    <t>01122</t>
  </si>
  <si>
    <t>Pagamentos a Fornecedores</t>
  </si>
  <si>
    <t>01123</t>
  </si>
  <si>
    <t>Pagamentos ao Pessoal</t>
  </si>
  <si>
    <t>01221</t>
  </si>
  <si>
    <t>Pagamento do Imposto sobre o Rendimento</t>
  </si>
  <si>
    <t>01211</t>
  </si>
  <si>
    <t>Recebimento do Imposto sobre o Rendimento</t>
  </si>
  <si>
    <t>01212</t>
  </si>
  <si>
    <t>Outros Recebimentos Relativos à Actividade Operacional</t>
  </si>
  <si>
    <t>01222</t>
  </si>
  <si>
    <t>Outros Pagamentos Relativos à Actividade Operacional</t>
  </si>
  <si>
    <t>02</t>
  </si>
  <si>
    <t>Actividades de Investimeto</t>
  </si>
  <si>
    <t xml:space="preserve">Pagamento Respeitantes a: </t>
  </si>
  <si>
    <t>02011</t>
  </si>
  <si>
    <t>Activos Fixos Tangíveis</t>
  </si>
  <si>
    <t>02012</t>
  </si>
  <si>
    <t>Activos Intangíveis</t>
  </si>
  <si>
    <t>02013</t>
  </si>
  <si>
    <t>02014</t>
  </si>
  <si>
    <t>Outros Activos</t>
  </si>
  <si>
    <t>Recebimentos Provenientes de:</t>
  </si>
  <si>
    <t>02021</t>
  </si>
  <si>
    <t>02022</t>
  </si>
  <si>
    <t>02023</t>
  </si>
  <si>
    <t>02024</t>
  </si>
  <si>
    <t>02025</t>
  </si>
  <si>
    <t xml:space="preserve">Subsídios de Investimento </t>
  </si>
  <si>
    <t>02026</t>
  </si>
  <si>
    <t>Juros e Rendimentos Similares</t>
  </si>
  <si>
    <t>02027</t>
  </si>
  <si>
    <t>Dividendos</t>
  </si>
  <si>
    <t>03</t>
  </si>
  <si>
    <t>Actividades de Financiamento</t>
  </si>
  <si>
    <t>03011</t>
  </si>
  <si>
    <t>Financiamentos Obtidos</t>
  </si>
  <si>
    <t>03012</t>
  </si>
  <si>
    <t>Realizações de Capital e de Outros Instrumentos de Capital Próprio</t>
  </si>
  <si>
    <t>03013</t>
  </si>
  <si>
    <t>Cobertura de Prejuízos</t>
  </si>
  <si>
    <t>03014</t>
  </si>
  <si>
    <t>Doações</t>
  </si>
  <si>
    <t>03015</t>
  </si>
  <si>
    <t>Outras Operações de Financiamento</t>
  </si>
  <si>
    <t>Pagamentos Respeitantes a:</t>
  </si>
  <si>
    <t>03021</t>
  </si>
  <si>
    <t>03022</t>
  </si>
  <si>
    <t>Juros e Gastos Similares</t>
  </si>
  <si>
    <t>03023</t>
  </si>
  <si>
    <t>03024</t>
  </si>
  <si>
    <t>Reduções de Capital e de Outros Instrumentos de Capital Próprio</t>
  </si>
  <si>
    <t>03025</t>
  </si>
  <si>
    <t>04</t>
  </si>
  <si>
    <t>Efeitos das Diferenças de Câmbio</t>
  </si>
  <si>
    <t>041</t>
  </si>
  <si>
    <t>Diferenças de Câmbio Positivas</t>
  </si>
  <si>
    <t>042</t>
  </si>
  <si>
    <t>Diferenças de Câmbio Negativas</t>
  </si>
  <si>
    <t>09</t>
  </si>
  <si>
    <t>Contas Reflectidas</t>
  </si>
  <si>
    <t>091</t>
  </si>
  <si>
    <t>092</t>
  </si>
  <si>
    <t>Actividades de Investimento</t>
  </si>
  <si>
    <t>093</t>
  </si>
  <si>
    <t>Actvidades de Financiamento</t>
  </si>
  <si>
    <t>094</t>
  </si>
  <si>
    <t>Diferenças de Câmbio</t>
  </si>
  <si>
    <t>Designação</t>
  </si>
  <si>
    <t>Ano de Início</t>
  </si>
  <si>
    <t>Financiamentos Previstos</t>
  </si>
  <si>
    <t>Exercícios Anteriores</t>
  </si>
  <si>
    <t>Exercício Corrente</t>
  </si>
  <si>
    <t>Valores Acumulados</t>
  </si>
  <si>
    <t>Exercícios Futuros Financiamentos Previstos</t>
  </si>
  <si>
    <t>Previções</t>
  </si>
  <si>
    <t>Financiamento</t>
  </si>
  <si>
    <t>Realizações</t>
  </si>
  <si>
    <t>Previsões</t>
  </si>
  <si>
    <t>%</t>
  </si>
  <si>
    <t xml:space="preserve">RELATÓRIO DE IMPRESSÃO: </t>
  </si>
  <si>
    <t>Análise de Balanço Patrimonial</t>
  </si>
  <si>
    <t>1.1 - Activos não Correntes</t>
  </si>
  <si>
    <t>1.2 - Activos Correntes</t>
  </si>
  <si>
    <t>2.1 - Passivo não Corrente e Capital Próprio</t>
  </si>
  <si>
    <t>2.2 - Passivo Corrente</t>
  </si>
  <si>
    <t>3 - Balanço Patrimonial</t>
  </si>
  <si>
    <t>4 - Proveitos por Natureza</t>
  </si>
  <si>
    <t>5 - Custos por Natureza</t>
  </si>
  <si>
    <t>6 - Demonstração de Resultados - DRE</t>
  </si>
  <si>
    <t>7 - Gráficos</t>
  </si>
  <si>
    <t>1.1 - ACTIVOS NÃO CORRENTES</t>
  </si>
  <si>
    <t>Contas dos Activos não Correntes - Total</t>
  </si>
  <si>
    <t>1.2 - ACTIVOS CORRENTES</t>
  </si>
  <si>
    <t>2.1 - PASSIVO NÃO CORRENTE E CAPITAL PRÓPRIO</t>
  </si>
  <si>
    <t>Contas do Passivo não Corrente - Total</t>
  </si>
  <si>
    <t>Contas do Capital Próprio - Total</t>
  </si>
  <si>
    <t>Total Passivo não Corrente</t>
  </si>
  <si>
    <t xml:space="preserve">2.2 - PASSIVO CORRENTE </t>
  </si>
  <si>
    <t>Contas do Passivo  Corrente - Total</t>
  </si>
  <si>
    <t>3 - BALANÇO PATRIMONIAL</t>
  </si>
  <si>
    <t>Resultado Total</t>
  </si>
  <si>
    <t>Ativo</t>
  </si>
  <si>
    <t>Passivo</t>
  </si>
  <si>
    <t>4 - PROVEITOS POR NATUREZA - DRE</t>
  </si>
  <si>
    <t>5 - CUSTOS POR NATUREZA - DRE</t>
  </si>
  <si>
    <t>6 - DEMONSTRAÇÃO DE RESULTADO DE EXERCÍCIO (DRE)</t>
  </si>
  <si>
    <t>Receitas</t>
  </si>
  <si>
    <t>Custos e Despesas</t>
  </si>
  <si>
    <t>7 - GRÁFICOS</t>
  </si>
  <si>
    <t>Activos Correntes</t>
  </si>
  <si>
    <t>Proveitos</t>
  </si>
  <si>
    <t>Custos</t>
  </si>
  <si>
    <t>DRE</t>
  </si>
  <si>
    <t>Normas Não Observadas</t>
  </si>
  <si>
    <t>nº 1 do artigo 3º da Resolução…</t>
  </si>
  <si>
    <t>nº 2 das Instruções Gerais de Preenchimento dos Modelos estabelecidos na Resolução…</t>
  </si>
  <si>
    <t>Instruções específicas previstas na Resolução…</t>
  </si>
  <si>
    <t>nº 3 das Instruções Específicas previstas na Resolução…</t>
  </si>
  <si>
    <t>nº 4 das Instruções específicas previstas na Resolução</t>
  </si>
  <si>
    <t>Instruções específicas de preenchimento de cada modelo de prestação de contas</t>
  </si>
  <si>
    <t>Normas técnicas de estruturação e apresentação das Demonstrações Financeiras</t>
  </si>
  <si>
    <t>nº 3, 4 e 5 das Instruções Gerais estabelecidas na Resolução….</t>
  </si>
  <si>
    <t>Normas Técnicas de estruturação e apresentação da Demonstração de Resultados conforme o PGC</t>
  </si>
  <si>
    <t>Normas Técnicas de estruturação e apresentação da Demonstração de Fluxos de Caixa conforme o PGC</t>
  </si>
  <si>
    <t>Instruções específicas da Resolução….</t>
  </si>
  <si>
    <t>Normas Técnicas de estruturação e apresentação da Demonstração de Resultados  conforme o PGC</t>
  </si>
  <si>
    <t>nº 3 do artigo 8º da Lei nº 13/10, de 9 de Julho</t>
  </si>
  <si>
    <t>nº2 do artigo 66º da Lei nº 13/10, de 9 de Julho</t>
  </si>
  <si>
    <t>Norma anual de execução do Orçamento</t>
  </si>
  <si>
    <t>Artigo 107º da Lei nº 41/20, de 23 de Dezembro (Lei dos Contratos Públicos)</t>
  </si>
  <si>
    <t>Artigos 30º, 31º, 32º 3 33º da Lei nº 15/10 (Lei do Orçamento Geral do Estado)</t>
  </si>
  <si>
    <t>Artigo 25º da Lei nº 11/13, de 3 de Setembro (Lei de Bases do Sector Empresarial Público)</t>
  </si>
  <si>
    <t>Ver Norma</t>
  </si>
  <si>
    <t>Artigo 18º da Lei nº 13/10, de 9 de Julho</t>
  </si>
  <si>
    <t>1 - Envio da prestação de contas fora do prazo legalmente estabelecido</t>
  </si>
  <si>
    <t>2 - Não envio da prestação de contas</t>
  </si>
  <si>
    <t>3- Não remessa dos documentos requeridos nos instrutivos da Resolução</t>
  </si>
  <si>
    <t>4- Falta de ordenação documental da prestação de contas mantendo inalterada a designação de cada modelo</t>
  </si>
  <si>
    <t>5- Falta de submissão de determinados modelos de prestação de contas, na eventualidade de se apurar movimentações</t>
  </si>
  <si>
    <t>6- Não envio de todos os contratos celebrados ou mapas financeiros relativos aos contratos de locação financeira</t>
  </si>
  <si>
    <t>7- Falta de inclusão dos dados de cada responsável pela gestão</t>
  </si>
  <si>
    <t>8 - Falta de envio dos mapas constitutivos das Demostrações Financeiras</t>
  </si>
  <si>
    <t>9- Não observância das instruções de preenchimento dos modelos, com relevância pela falta de consistência dos dados</t>
  </si>
  <si>
    <t>10 - Falta de detalhamento e organização do Balanço Patrimonial de acordo com a estrutura prevista( Activo, Capital Próprio e Passivo), e por classes de contas, incluindo a correcta ordenação pelo grau de liquidez e exigibilidade</t>
  </si>
  <si>
    <t>11- Ausência de assinatura do técnico e do responsável da àrea, bem como falta de homologação do responsável máximo da entidade prestadora de contas, na guia remessa.</t>
  </si>
  <si>
    <t>12 - Falta de detalhamento e organização da Demonstração de resultados, não reflectindo correctamente a estrutura por classes de contas ( Proveitos e Custos) e não diferenciando as variantes por natureza e por funções.</t>
  </si>
  <si>
    <t>13 - Falta de elaboração adequada da Demostração dos Fluxos de Caixa</t>
  </si>
  <si>
    <t>14 - Falta de envio de documentos adicionais</t>
  </si>
  <si>
    <t>15 - Situações que possam alterar o resultado financeiro do exercicio</t>
  </si>
  <si>
    <t>16 - Execução de contratos sem concessão do visto do Tribunal de Contas</t>
  </si>
  <si>
    <t>17 - Execução de contratos devolvidos pelo Tribunal para melhor instrução</t>
  </si>
  <si>
    <t>18 - Pagamentos ou adiantamentos iniciais  não respeitando normas</t>
  </si>
  <si>
    <t>19 - Falta de redução a escritos de contratos obrigatòrios</t>
  </si>
  <si>
    <t>20- Realização de despesas não autorizadas</t>
  </si>
  <si>
    <t>21 - Falta do envio do relatório e parecer do auditor externo</t>
  </si>
  <si>
    <t>22- Demonstrações financeiras elaboradas por softwares não certificados pela Administração Geral Tributária (AGT)</t>
  </si>
  <si>
    <t>23- Violação de normas financeiras e contabilisticas</t>
  </si>
  <si>
    <t>24- Falta de efetivação dos descontos obrigatórios por lei</t>
  </si>
  <si>
    <t>25- Retenção indevida dos descontos obrigatórios por lei</t>
  </si>
  <si>
    <t>26- Falta de prestação de informações pedidas, remessa de documentos ou comparência</t>
  </si>
  <si>
    <r>
      <rPr>
        <b/>
        <sz val="14"/>
        <color theme="1"/>
        <rFont val="Calibri"/>
        <family val="2"/>
        <scheme val="minor"/>
      </rPr>
      <t>3 - Não em Termos</t>
    </r>
    <r>
      <rPr>
        <sz val="14"/>
        <color theme="1"/>
        <rFont val="Calibri"/>
        <family val="2"/>
        <scheme val="minor"/>
      </rPr>
      <t xml:space="preserve"> - A Conta não está em Termos e deve constar do programa de auditorias para o ano seguinte e seguir para contraditório.</t>
    </r>
  </si>
  <si>
    <t>27- Demonstração Numérica irregular</t>
  </si>
  <si>
    <t>28- Indicador de Liquidez</t>
  </si>
  <si>
    <t>29- Indicador de endividamento</t>
  </si>
  <si>
    <t>30- Indicador de Rentabilidade</t>
  </si>
  <si>
    <t>Nº 1 do artigo 73º da Lei nº 13/10 de 9 de Julho, conjugado com o artigo 2º da Resolução…</t>
  </si>
  <si>
    <t>AVALIAÇÃO DA CONTA</t>
  </si>
  <si>
    <t>6.0</t>
  </si>
  <si>
    <t>Avaliação Final da Conta.</t>
  </si>
  <si>
    <t>Imobilização Capital Próprio</t>
  </si>
  <si>
    <t>Giro do Activo</t>
  </si>
  <si>
    <t>Coluna1</t>
  </si>
  <si>
    <t>Rendas</t>
  </si>
  <si>
    <t>Seguros</t>
  </si>
  <si>
    <t>Cartões Visa</t>
  </si>
  <si>
    <t>=</t>
  </si>
  <si>
    <t>Retenções a recuperar</t>
  </si>
  <si>
    <t>Retenções a Pagar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</si>
</sst>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quot;Kz&quot;* #,##0.00_);_(&quot;Kz&quot;* \(#,##0.00\);_(&quot;Kz&quot;* &quot;-&quot;??_);_(@_)"/>
    <numFmt numFmtId="165" formatCode="_(&quot;R$&quot;* #,##0.00_);_(&quot;R$&quot;* \(#,##0.00\);_(&quot;R$&quot;* &quot;-&quot;??_);_(@_)"/>
    <numFmt numFmtId="166" formatCode="&quot;R$&quot;#,##0.00"/>
    <numFmt numFmtId="167" formatCode="&quot;R$&quot;\ #,##0.00"/>
    <numFmt numFmtId="168" formatCode="&quot;R$&quot;\ #,##0.000"/>
    <numFmt numFmtId="169" formatCode="_-* #,##0.00\ _€_-;\-* #,##0.00\ _€_-;_-* &quot;-&quot;??\ _€_-;_-@_-"/>
    <numFmt numFmtId="170" formatCode="#,##0.00\ [$Kz]" x16r2:formatCode16="#,##0.00\ [$Kz-pt-AO]"/>
    <numFmt numFmtId="171" formatCode="_-* #,##0.00\ [$Kz]_-;\-* #,##0.00\ [$Kz]_-;_-* &quot;-&quot;??\ [$Kz]_-;_-@_-" x16r2:formatCode16="_-* #,##0.00\ [$Kz-pt-AO]_-;\-* #,##0.00\ [$Kz-pt-AO]_-;_-* &quot;-&quot;??\ [$Kz-pt-AO]_-;_-@_-"/>
  </numFmts>
  <fonts count="49" x14ac:knownFonts="1">
    <font>
      <sz val="11"/>
      <color theme="1"/>
      <name val="Calibri"/>
      <family val="2"/>
      <scheme val="minor"/>
    </font>
    <font>
      <u/>
      <sz val="11"/>
      <color theme="10"/>
      <name val="Calibri"/>
      <family val="2"/>
      <scheme val="minor"/>
    </font>
    <font>
      <sz val="11"/>
      <color theme="0"/>
      <name val="Calibri"/>
      <family val="2"/>
      <scheme val="minor"/>
    </font>
    <font>
      <sz val="11"/>
      <color theme="1"/>
      <name val="Calibri"/>
      <family val="2"/>
      <scheme val="minor"/>
    </font>
    <font>
      <sz val="18"/>
      <color rgb="FF333333"/>
      <name val="Calibri"/>
      <family val="2"/>
      <scheme val="minor"/>
    </font>
    <font>
      <sz val="12"/>
      <color theme="1"/>
      <name val="Calibri"/>
      <family val="2"/>
      <scheme val="minor"/>
    </font>
    <font>
      <sz val="11"/>
      <color rgb="FF999999"/>
      <name val="Calibri"/>
      <family val="2"/>
      <scheme val="minor"/>
    </font>
    <font>
      <b/>
      <sz val="16"/>
      <color theme="1"/>
      <name val="Calibri"/>
      <family val="2"/>
      <scheme val="minor"/>
    </font>
    <font>
      <b/>
      <sz val="28"/>
      <color theme="1"/>
      <name val="Calibri"/>
      <family val="2"/>
      <scheme val="minor"/>
    </font>
    <font>
      <b/>
      <sz val="16"/>
      <color theme="0"/>
      <name val="Calibri"/>
      <family val="2"/>
      <scheme val="minor"/>
    </font>
    <font>
      <sz val="36"/>
      <color theme="0" tint="-0.499984740745262"/>
      <name val="Calibri"/>
      <family val="2"/>
      <scheme val="minor"/>
    </font>
    <font>
      <b/>
      <sz val="48"/>
      <color theme="1"/>
      <name val="Calibri"/>
      <family val="2"/>
      <scheme val="minor"/>
    </font>
    <font>
      <sz val="36"/>
      <color theme="1"/>
      <name val="Calibri"/>
      <family val="2"/>
      <scheme val="minor"/>
    </font>
    <font>
      <b/>
      <sz val="26"/>
      <color theme="1"/>
      <name val="Calibri"/>
      <family val="2"/>
      <scheme val="minor"/>
    </font>
    <font>
      <sz val="14"/>
      <color theme="1"/>
      <name val="Calibri"/>
      <family val="2"/>
      <scheme val="minor"/>
    </font>
    <font>
      <sz val="11"/>
      <name val="Calibri"/>
      <family val="2"/>
      <scheme val="minor"/>
    </font>
    <font>
      <b/>
      <sz val="12"/>
      <color theme="1"/>
      <name val="Calibri"/>
      <family val="2"/>
      <scheme val="minor"/>
    </font>
    <font>
      <sz val="12"/>
      <color rgb="FF595959"/>
      <name val="Calibri"/>
      <family val="2"/>
      <scheme val="minor"/>
    </font>
    <font>
      <sz val="20"/>
      <color theme="0" tint="-0.499984740745262"/>
      <name val="Calibri"/>
      <family val="2"/>
      <scheme val="minor"/>
    </font>
    <font>
      <b/>
      <sz val="20"/>
      <color theme="1"/>
      <name val="Calibri"/>
      <family val="2"/>
      <scheme val="minor"/>
    </font>
    <font>
      <sz val="20"/>
      <color theme="1"/>
      <name val="Calibri"/>
      <family val="2"/>
      <scheme val="minor"/>
    </font>
    <font>
      <b/>
      <sz val="14"/>
      <color theme="0"/>
      <name val="Calibri"/>
      <family val="2"/>
      <scheme val="minor"/>
    </font>
    <font>
      <sz val="18"/>
      <name val="Calibri"/>
      <family val="2"/>
      <scheme val="minor"/>
    </font>
    <font>
      <sz val="12"/>
      <name val="Calibri"/>
      <family val="2"/>
      <scheme val="minor"/>
    </font>
    <font>
      <sz val="8"/>
      <name val="Calibri"/>
      <family val="2"/>
      <scheme val="minor"/>
    </font>
    <font>
      <b/>
      <sz val="11"/>
      <color theme="0"/>
      <name val="Calibri"/>
      <family val="2"/>
      <scheme val="minor"/>
    </font>
    <font>
      <b/>
      <sz val="11"/>
      <color theme="1"/>
      <name val="Calibri"/>
      <family val="2"/>
      <scheme val="minor"/>
    </font>
    <font>
      <sz val="11"/>
      <color rgb="FFFF0000"/>
      <name val="Calibri"/>
      <family val="2"/>
      <scheme val="minor"/>
    </font>
    <font>
      <sz val="12"/>
      <color theme="0"/>
      <name val="Calibri"/>
      <family val="2"/>
      <scheme val="minor"/>
    </font>
    <font>
      <b/>
      <sz val="14"/>
      <color theme="1"/>
      <name val="Calibri"/>
      <family val="2"/>
      <scheme val="minor"/>
    </font>
    <font>
      <b/>
      <sz val="12"/>
      <color theme="0"/>
      <name val="Calibri"/>
      <family val="2"/>
      <scheme val="minor"/>
    </font>
    <font>
      <sz val="14"/>
      <color theme="0"/>
      <name val="Calibri"/>
      <family val="2"/>
      <scheme val="minor"/>
    </font>
    <font>
      <sz val="14"/>
      <color rgb="FF999999"/>
      <name val="Calibri"/>
      <family val="2"/>
      <scheme val="minor"/>
    </font>
    <font>
      <sz val="14"/>
      <color rgb="FFFF0000"/>
      <name val="Calibri"/>
      <family val="2"/>
      <scheme val="minor"/>
    </font>
    <font>
      <sz val="14"/>
      <name val="Calibri"/>
      <family val="2"/>
      <scheme val="minor"/>
    </font>
    <font>
      <b/>
      <sz val="14"/>
      <name val="Calibri"/>
      <family val="2"/>
      <scheme val="minor"/>
    </font>
    <font>
      <b/>
      <sz val="11"/>
      <name val="Calibri"/>
      <family val="2"/>
      <scheme val="minor"/>
    </font>
    <font>
      <b/>
      <sz val="14"/>
      <color theme="4"/>
      <name val="Calibri"/>
      <family val="2"/>
      <scheme val="minor"/>
    </font>
    <font>
      <b/>
      <sz val="11"/>
      <color rgb="FF999999"/>
      <name val="Calibri"/>
      <family val="2"/>
      <scheme val="minor"/>
    </font>
    <font>
      <b/>
      <sz val="20"/>
      <color rgb="FFC00000"/>
      <name val="Calibri"/>
      <family val="2"/>
      <scheme val="minor"/>
    </font>
    <font>
      <b/>
      <sz val="16"/>
      <color theme="5" tint="-0.249977111117893"/>
      <name val="Calibri"/>
      <family val="2"/>
      <scheme val="minor"/>
    </font>
    <font>
      <b/>
      <sz val="16"/>
      <color theme="5" tint="-0.499984740745262"/>
      <name val="Calibri"/>
      <family val="2"/>
      <scheme val="minor"/>
    </font>
    <font>
      <b/>
      <sz val="22"/>
      <color theme="1"/>
      <name val="Calibri"/>
      <family val="2"/>
      <scheme val="minor"/>
    </font>
    <font>
      <b/>
      <sz val="14"/>
      <color theme="3" tint="-0.499984740745262"/>
      <name val="Calibri"/>
      <family val="2"/>
      <scheme val="minor"/>
    </font>
    <font>
      <b/>
      <sz val="14"/>
      <color rgb="FF7030A0"/>
      <name val="Calibri"/>
      <family val="2"/>
      <scheme val="minor"/>
    </font>
    <font>
      <b/>
      <sz val="18"/>
      <name val="Calibri"/>
      <family val="2"/>
      <scheme val="minor"/>
    </font>
    <font>
      <b/>
      <sz val="12"/>
      <name val="Calibri"/>
      <family val="2"/>
      <scheme val="minor"/>
    </font>
    <font>
      <sz val="9"/>
      <color indexed="81"/>
      <name val="Tahoma"/>
      <family val="2"/>
    </font>
    <font>
      <b/>
      <sz val="9"/>
      <color indexed="81"/>
      <name val="Tahoma"/>
      <family val="2"/>
    </font>
  </fonts>
  <fills count="39">
    <fill>
      <patternFill patternType="none"/>
    </fill>
    <fill>
      <patternFill patternType="gray125"/>
    </fill>
    <fill>
      <patternFill patternType="solid">
        <fgColor rgb="FF333333"/>
        <bgColor indexed="64"/>
      </patternFill>
    </fill>
    <fill>
      <patternFill patternType="solid">
        <fgColor rgb="FF6699CC"/>
        <bgColor indexed="64"/>
      </patternFill>
    </fill>
    <fill>
      <patternFill patternType="solid">
        <fgColor theme="0"/>
        <bgColor indexed="64"/>
      </patternFill>
    </fill>
    <fill>
      <patternFill patternType="solid">
        <fgColor rgb="FFECF0F1"/>
        <bgColor indexed="64"/>
      </patternFill>
    </fill>
    <fill>
      <patternFill patternType="solid">
        <fgColor rgb="FF000099"/>
        <bgColor indexed="64"/>
      </patternFill>
    </fill>
    <fill>
      <patternFill patternType="solid">
        <fgColor theme="8" tint="0.79998168889431442"/>
        <bgColor indexed="64"/>
      </patternFill>
    </fill>
    <fill>
      <patternFill patternType="solid">
        <fgColor rgb="FF002060"/>
        <bgColor indexed="64"/>
      </patternFill>
    </fill>
    <fill>
      <patternFill patternType="solid">
        <fgColor rgb="FF0070C0"/>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4"/>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0"/>
        <bgColor theme="4" tint="0.79998168889431442"/>
      </patternFill>
    </fill>
    <fill>
      <patternFill patternType="solid">
        <fgColor theme="4" tint="0.79998168889431442"/>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4" tint="-0.249977111117893"/>
        <bgColor indexed="64"/>
      </patternFill>
    </fill>
    <fill>
      <patternFill patternType="solid">
        <fgColor theme="7" tint="0.59999389629810485"/>
        <bgColor theme="9" tint="0.79998168889431442"/>
      </patternFill>
    </fill>
    <fill>
      <patternFill patternType="solid">
        <fgColor theme="7" tint="0.59999389629810485"/>
        <bgColor indexed="64"/>
      </patternFill>
    </fill>
    <fill>
      <patternFill patternType="solid">
        <fgColor theme="4" tint="0.59999389629810485"/>
        <bgColor theme="9" tint="0.79998168889431442"/>
      </patternFill>
    </fill>
    <fill>
      <patternFill patternType="solid">
        <fgColor theme="5" tint="0.79998168889431442"/>
        <bgColor theme="9" tint="0.79998168889431442"/>
      </patternFill>
    </fill>
    <fill>
      <patternFill patternType="solid">
        <fgColor theme="0" tint="-4.9989318521683403E-2"/>
        <bgColor indexed="64"/>
      </patternFill>
    </fill>
    <fill>
      <patternFill patternType="solid">
        <fgColor theme="5" tint="-0.499984740745262"/>
        <bgColor theme="9" tint="0.79998168889431442"/>
      </patternFill>
    </fill>
    <fill>
      <patternFill patternType="solid">
        <fgColor theme="5" tint="-0.499984740745262"/>
        <bgColor indexed="64"/>
      </patternFill>
    </fill>
    <fill>
      <patternFill patternType="solid">
        <fgColor theme="5" tint="-0.249977111117893"/>
        <bgColor theme="9" tint="0.79998168889431442"/>
      </patternFill>
    </fill>
    <fill>
      <patternFill patternType="solid">
        <fgColor theme="5" tint="-0.249977111117893"/>
        <bgColor indexed="64"/>
      </patternFill>
    </fill>
    <fill>
      <patternFill patternType="solid">
        <fgColor theme="6" tint="0.79998168889431442"/>
        <bgColor indexed="64"/>
      </patternFill>
    </fill>
    <fill>
      <patternFill patternType="solid">
        <fgColor theme="0"/>
        <bgColor theme="9" tint="0.79998168889431442"/>
      </patternFill>
    </fill>
    <fill>
      <patternFill patternType="solid">
        <fgColor theme="8"/>
        <bgColor theme="9" tint="0.79998168889431442"/>
      </patternFill>
    </fill>
    <fill>
      <patternFill patternType="solid">
        <fgColor theme="8"/>
        <bgColor indexed="64"/>
      </patternFill>
    </fill>
    <fill>
      <patternFill patternType="solid">
        <fgColor rgb="FFC00000"/>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4" tint="-0.499984740745262"/>
        <bgColor indexed="64"/>
      </patternFill>
    </fill>
    <fill>
      <patternFill patternType="solid">
        <fgColor theme="4" tint="0.39997558519241921"/>
        <bgColor theme="9" tint="0.79998168889431442"/>
      </patternFill>
    </fill>
  </fills>
  <borders count="111">
    <border>
      <left/>
      <right/>
      <top/>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
      <left style="thick">
        <color theme="0"/>
      </left>
      <right style="thick">
        <color theme="0"/>
      </right>
      <top style="thick">
        <color theme="0"/>
      </top>
      <bottom/>
      <diagonal/>
    </border>
    <border>
      <left style="thin">
        <color theme="0" tint="-0.14999847407452621"/>
      </left>
      <right style="thin">
        <color theme="0" tint="-0.14999847407452621"/>
      </right>
      <top/>
      <bottom style="thin">
        <color theme="0" tint="-0.14999847407452621"/>
      </bottom>
      <diagonal/>
    </border>
    <border>
      <left/>
      <right style="thin">
        <color theme="0" tint="-0.14999847407452621"/>
      </right>
      <top/>
      <bottom style="thin">
        <color theme="0" tint="-0.14999847407452621"/>
      </bottom>
      <diagonal/>
    </border>
    <border>
      <left style="thick">
        <color theme="0"/>
      </left>
      <right/>
      <top/>
      <bottom style="thick">
        <color theme="0"/>
      </bottom>
      <diagonal/>
    </border>
    <border>
      <left/>
      <right style="thick">
        <color theme="0"/>
      </right>
      <top/>
      <bottom style="thick">
        <color theme="0"/>
      </bottom>
      <diagonal/>
    </border>
    <border>
      <left/>
      <right style="thick">
        <color theme="0"/>
      </right>
      <top style="thick">
        <color theme="0"/>
      </top>
      <bottom/>
      <diagonal/>
    </border>
    <border>
      <left style="thick">
        <color theme="0"/>
      </left>
      <right/>
      <top style="thick">
        <color theme="0"/>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ck">
        <color theme="0"/>
      </top>
      <bottom/>
      <diagonal/>
    </border>
    <border>
      <left style="thick">
        <color theme="0"/>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n">
        <color indexed="64"/>
      </right>
      <top/>
      <bottom style="thick">
        <color theme="0"/>
      </bottom>
      <diagonal/>
    </border>
    <border>
      <left/>
      <right style="thin">
        <color indexed="64"/>
      </right>
      <top/>
      <bottom style="thick">
        <color theme="0"/>
      </bottom>
      <diagonal/>
    </border>
    <border>
      <left/>
      <right style="thin">
        <color indexed="64"/>
      </right>
      <top style="thick">
        <color theme="0"/>
      </top>
      <bottom style="thick">
        <color theme="0"/>
      </bottom>
      <diagonal/>
    </border>
    <border>
      <left style="thin">
        <color indexed="64"/>
      </left>
      <right/>
      <top style="thick">
        <color theme="0"/>
      </top>
      <bottom style="thick">
        <color theme="0"/>
      </bottom>
      <diagonal/>
    </border>
    <border>
      <left style="thin">
        <color indexed="64"/>
      </left>
      <right/>
      <top/>
      <bottom style="thick">
        <color theme="0"/>
      </bottom>
      <diagonal/>
    </border>
    <border>
      <left style="thick">
        <color theme="0"/>
      </left>
      <right style="thin">
        <color indexed="64"/>
      </right>
      <top/>
      <bottom style="thick">
        <color theme="0"/>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medium">
        <color theme="0"/>
      </left>
      <right/>
      <top style="medium">
        <color theme="0"/>
      </top>
      <bottom style="thin">
        <color indexed="64"/>
      </bottom>
      <diagonal/>
    </border>
    <border>
      <left style="medium">
        <color theme="0"/>
      </left>
      <right style="medium">
        <color theme="0"/>
      </right>
      <top style="medium">
        <color theme="0"/>
      </top>
      <bottom style="thin">
        <color indexed="64"/>
      </bottom>
      <diagonal/>
    </border>
    <border>
      <left style="thin">
        <color indexed="64"/>
      </left>
      <right style="medium">
        <color theme="0"/>
      </right>
      <top style="medium">
        <color theme="0"/>
      </top>
      <bottom style="thin">
        <color indexed="64"/>
      </bottom>
      <diagonal/>
    </border>
    <border>
      <left style="medium">
        <color theme="0"/>
      </left>
      <right/>
      <top style="medium">
        <color theme="0"/>
      </top>
      <bottom style="medium">
        <color theme="0"/>
      </bottom>
      <diagonal/>
    </border>
    <border>
      <left style="medium">
        <color theme="0"/>
      </left>
      <right style="medium">
        <color theme="0"/>
      </right>
      <top style="medium">
        <color theme="0"/>
      </top>
      <bottom style="medium">
        <color theme="0"/>
      </bottom>
      <diagonal/>
    </border>
    <border>
      <left style="thin">
        <color indexed="64"/>
      </left>
      <right style="medium">
        <color theme="0"/>
      </right>
      <top style="medium">
        <color theme="0"/>
      </top>
      <bottom style="medium">
        <color theme="0"/>
      </bottom>
      <diagonal/>
    </border>
    <border>
      <left/>
      <right style="thin">
        <color indexed="64"/>
      </right>
      <top style="medium">
        <color theme="0"/>
      </top>
      <bottom/>
      <diagonal/>
    </border>
    <border>
      <left/>
      <right/>
      <top style="medium">
        <color theme="0"/>
      </top>
      <bottom/>
      <diagonal/>
    </border>
    <border>
      <left style="thin">
        <color indexed="64"/>
      </left>
      <right/>
      <top style="medium">
        <color theme="0"/>
      </top>
      <bottom/>
      <diagonal/>
    </border>
    <border>
      <left/>
      <right/>
      <top style="medium">
        <color theme="0"/>
      </top>
      <bottom style="medium">
        <color theme="0"/>
      </bottom>
      <diagonal/>
    </border>
    <border>
      <left/>
      <right style="thin">
        <color indexed="64"/>
      </right>
      <top style="thin">
        <color indexed="64"/>
      </top>
      <bottom style="medium">
        <color theme="0"/>
      </bottom>
      <diagonal/>
    </border>
    <border>
      <left/>
      <right/>
      <top style="thin">
        <color indexed="64"/>
      </top>
      <bottom style="medium">
        <color theme="0"/>
      </bottom>
      <diagonal/>
    </border>
    <border>
      <left style="thin">
        <color indexed="64"/>
      </left>
      <right/>
      <top style="thin">
        <color indexed="64"/>
      </top>
      <bottom style="medium">
        <color theme="0"/>
      </bottom>
      <diagonal/>
    </border>
    <border>
      <left/>
      <right/>
      <top/>
      <bottom style="medium">
        <color theme="0"/>
      </bottom>
      <diagonal/>
    </border>
    <border>
      <left style="medium">
        <color theme="0"/>
      </left>
      <right/>
      <top/>
      <bottom/>
      <diagonal/>
    </border>
    <border>
      <left style="medium">
        <color theme="0"/>
      </left>
      <right style="medium">
        <color theme="0"/>
      </right>
      <top style="thin">
        <color indexed="64"/>
      </top>
      <bottom style="medium">
        <color theme="0"/>
      </bottom>
      <diagonal/>
    </border>
    <border>
      <left style="thin">
        <color indexed="64"/>
      </left>
      <right style="medium">
        <color theme="0"/>
      </right>
      <top style="thin">
        <color indexed="64"/>
      </top>
      <bottom style="medium">
        <color theme="0"/>
      </bottom>
      <diagonal/>
    </border>
    <border>
      <left style="medium">
        <color theme="0"/>
      </left>
      <right/>
      <top/>
      <bottom style="medium">
        <color theme="0"/>
      </bottom>
      <diagonal/>
    </border>
    <border>
      <left style="thick">
        <color theme="0"/>
      </left>
      <right/>
      <top style="thin">
        <color indexed="64"/>
      </top>
      <bottom style="thin">
        <color indexed="64"/>
      </bottom>
      <diagonal/>
    </border>
    <border>
      <left/>
      <right style="thick">
        <color theme="0"/>
      </right>
      <top style="thin">
        <color indexed="64"/>
      </top>
      <bottom style="thin">
        <color indexed="64"/>
      </bottom>
      <diagonal/>
    </border>
    <border>
      <left style="thick">
        <color theme="0"/>
      </left>
      <right/>
      <top/>
      <bottom/>
      <diagonal/>
    </border>
    <border>
      <left/>
      <right style="thin">
        <color theme="0" tint="-0.14999847407452621"/>
      </right>
      <top/>
      <bottom/>
      <diagonal/>
    </border>
    <border>
      <left/>
      <right/>
      <top/>
      <bottom style="thick">
        <color theme="0"/>
      </bottom>
      <diagonal/>
    </border>
    <border>
      <left style="double">
        <color indexed="64"/>
      </left>
      <right style="double">
        <color indexed="64"/>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double">
        <color indexed="64"/>
      </right>
      <top style="double">
        <color indexed="64"/>
      </top>
      <bottom style="thin">
        <color theme="9" tint="0.39997558519241921"/>
      </bottom>
      <diagonal/>
    </border>
    <border>
      <left/>
      <right style="double">
        <color indexed="64"/>
      </right>
      <top style="double">
        <color indexed="64"/>
      </top>
      <bottom style="thin">
        <color theme="9" tint="0.39997558519241921"/>
      </bottom>
      <diagonal/>
    </border>
    <border>
      <left style="double">
        <color indexed="64"/>
      </left>
      <right style="double">
        <color indexed="64"/>
      </right>
      <top style="thin">
        <color theme="9" tint="0.39997558519241921"/>
      </top>
      <bottom style="thin">
        <color theme="9" tint="0.39997558519241921"/>
      </bottom>
      <diagonal/>
    </border>
    <border>
      <left/>
      <right style="double">
        <color indexed="64"/>
      </right>
      <top style="thin">
        <color theme="9" tint="0.39997558519241921"/>
      </top>
      <bottom style="thin">
        <color theme="9" tint="0.39997558519241921"/>
      </bottom>
      <diagonal/>
    </border>
    <border>
      <left style="double">
        <color indexed="64"/>
      </left>
      <right style="double">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theme="0"/>
      </left>
      <right style="thick">
        <color theme="0"/>
      </right>
      <top style="thin">
        <color theme="0"/>
      </top>
      <bottom style="thin">
        <color theme="0"/>
      </bottom>
      <diagonal/>
    </border>
    <border>
      <left/>
      <right style="medium">
        <color theme="0"/>
      </right>
      <top style="medium">
        <color theme="0"/>
      </top>
      <bottom style="thick">
        <color theme="0"/>
      </bottom>
      <diagonal/>
    </border>
    <border>
      <left/>
      <right style="medium">
        <color theme="0"/>
      </right>
      <top style="thick">
        <color theme="0"/>
      </top>
      <bottom style="thick">
        <color theme="0"/>
      </bottom>
      <diagonal/>
    </border>
    <border>
      <left/>
      <right style="medium">
        <color theme="0"/>
      </right>
      <top/>
      <bottom style="thick">
        <color theme="0"/>
      </bottom>
      <diagonal/>
    </border>
    <border>
      <left style="thick">
        <color theme="0"/>
      </left>
      <right style="thick">
        <color theme="0"/>
      </right>
      <top/>
      <bottom/>
      <diagonal/>
    </border>
    <border>
      <left/>
      <right style="thick">
        <color theme="0"/>
      </right>
      <top/>
      <bottom/>
      <diagonal/>
    </border>
    <border>
      <left/>
      <right style="thin">
        <color theme="0" tint="-0.14999847407452621"/>
      </right>
      <top style="thick">
        <color theme="0"/>
      </top>
      <bottom style="thick">
        <color theme="0"/>
      </bottom>
      <diagonal/>
    </border>
    <border>
      <left/>
      <right style="thin">
        <color theme="0" tint="-0.14999847407452621"/>
      </right>
      <top/>
      <bottom style="thick">
        <color theme="0"/>
      </bottom>
      <diagonal/>
    </border>
    <border>
      <left style="thick">
        <color theme="0"/>
      </left>
      <right style="thick">
        <color theme="0"/>
      </right>
      <top/>
      <bottom style="thin">
        <color theme="0" tint="-0.14999847407452621"/>
      </bottom>
      <diagonal/>
    </border>
    <border>
      <left style="thick">
        <color theme="0"/>
      </left>
      <right style="thin">
        <color theme="0" tint="-0.14999847407452621"/>
      </right>
      <top style="thick">
        <color theme="0"/>
      </top>
      <bottom style="thick">
        <color theme="0"/>
      </bottom>
      <diagonal/>
    </border>
    <border>
      <left/>
      <right style="thin">
        <color theme="0" tint="-0.14999847407452621"/>
      </right>
      <top style="thin">
        <color theme="0" tint="-0.14999847407452621"/>
      </top>
      <bottom/>
      <diagonal/>
    </border>
    <border>
      <left style="thin">
        <color theme="0" tint="-0.14999847407452621"/>
      </left>
      <right style="thin">
        <color theme="0" tint="-0.14999847407452621"/>
      </right>
      <top/>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style="double">
        <color indexed="64"/>
      </right>
      <top style="thin">
        <color theme="9" tint="0.39997558519241921"/>
      </top>
      <bottom style="double">
        <color indexed="64"/>
      </bottom>
      <diagonal/>
    </border>
    <border>
      <left/>
      <right style="double">
        <color indexed="64"/>
      </right>
      <top style="thin">
        <color theme="9" tint="0.39997558519241921"/>
      </top>
      <bottom style="double">
        <color indexed="64"/>
      </bottom>
      <diagonal/>
    </border>
    <border>
      <left/>
      <right/>
      <top/>
      <bottom style="double">
        <color indexed="64"/>
      </bottom>
      <diagonal/>
    </border>
    <border>
      <left style="double">
        <color indexed="64"/>
      </left>
      <right/>
      <top style="double">
        <color indexed="64"/>
      </top>
      <bottom style="double">
        <color indexed="64"/>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style="double">
        <color indexed="64"/>
      </right>
      <top/>
      <bottom style="double">
        <color indexed="64"/>
      </bottom>
      <diagonal/>
    </border>
    <border>
      <left style="double">
        <color indexed="64"/>
      </left>
      <right style="thin">
        <color theme="0"/>
      </right>
      <top style="double">
        <color indexed="64"/>
      </top>
      <bottom style="double">
        <color indexed="64"/>
      </bottom>
      <diagonal/>
    </border>
    <border>
      <left/>
      <right/>
      <top style="double">
        <color indexed="64"/>
      </top>
      <bottom style="double">
        <color indexed="64"/>
      </bottom>
      <diagonal/>
    </border>
    <border>
      <left style="thin">
        <color theme="0" tint="-0.14999847407452621"/>
      </left>
      <right style="thin">
        <color theme="0" tint="-0.14999847407452621"/>
      </right>
      <top style="thin">
        <color theme="0" tint="-0.14999847407452621"/>
      </top>
      <bottom style="double">
        <color indexed="64"/>
      </bottom>
      <diagonal/>
    </border>
    <border>
      <left style="thin">
        <color theme="0" tint="-0.14999847407452621"/>
      </left>
      <right/>
      <top/>
      <bottom style="double">
        <color indexed="64"/>
      </bottom>
      <diagonal/>
    </border>
    <border>
      <left style="thin">
        <color theme="0" tint="-0.14999847407452621"/>
      </left>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5">
    <xf numFmtId="0" fontId="0" fillId="0" borderId="0"/>
    <xf numFmtId="0" fontId="1" fillId="0" borderId="0" applyNumberFormat="0" applyFill="0" applyBorder="0" applyAlignment="0" applyProtection="0"/>
    <xf numFmtId="165" fontId="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cellStyleXfs>
  <cellXfs count="860">
    <xf numFmtId="0" fontId="0" fillId="0" borderId="0" xfId="0"/>
    <xf numFmtId="0" fontId="0" fillId="2" borderId="0" xfId="0" applyFill="1"/>
    <xf numFmtId="0" fontId="2" fillId="0" borderId="0" xfId="0" applyFont="1"/>
    <xf numFmtId="165" fontId="0" fillId="0" borderId="0" xfId="2" applyFont="1"/>
    <xf numFmtId="167" fontId="0" fillId="4" borderId="7" xfId="0" applyNumberFormat="1" applyFill="1" applyBorder="1" applyAlignment="1" applyProtection="1">
      <alignment horizontal="center" vertical="center"/>
      <protection locked="0"/>
    </xf>
    <xf numFmtId="0" fontId="0" fillId="4" borderId="7" xfId="0" applyFill="1" applyBorder="1" applyAlignment="1" applyProtection="1">
      <alignment horizontal="left" vertical="center" wrapText="1"/>
      <protection locked="0"/>
    </xf>
    <xf numFmtId="3" fontId="6" fillId="5" borderId="2" xfId="0" applyNumberFormat="1" applyFont="1" applyFill="1" applyBorder="1" applyAlignment="1">
      <alignment horizontal="center" vertical="center"/>
    </xf>
    <xf numFmtId="10" fontId="6" fillId="5" borderId="2" xfId="0" applyNumberFormat="1" applyFont="1" applyFill="1" applyBorder="1" applyAlignment="1">
      <alignment horizontal="center" vertical="center"/>
    </xf>
    <xf numFmtId="167" fontId="2" fillId="0" borderId="0" xfId="0" applyNumberFormat="1" applyFont="1"/>
    <xf numFmtId="0" fontId="7" fillId="0" borderId="0" xfId="0" applyFont="1" applyAlignment="1">
      <alignment vertical="center"/>
    </xf>
    <xf numFmtId="0" fontId="0" fillId="4" borderId="0" xfId="0" applyFill="1"/>
    <xf numFmtId="10" fontId="2" fillId="0" borderId="0" xfId="0" applyNumberFormat="1" applyFont="1"/>
    <xf numFmtId="0" fontId="12" fillId="0" borderId="0" xfId="0" applyFont="1" applyAlignment="1">
      <alignment vertical="center"/>
    </xf>
    <xf numFmtId="0" fontId="13" fillId="0" borderId="0" xfId="0" applyFont="1" applyAlignment="1">
      <alignment vertical="center"/>
    </xf>
    <xf numFmtId="0" fontId="10" fillId="0" borderId="0" xfId="0" applyFont="1" applyAlignment="1">
      <alignment vertical="top"/>
    </xf>
    <xf numFmtId="0" fontId="8" fillId="0" borderId="0" xfId="0" applyFont="1" applyAlignment="1">
      <alignment vertical="center" wrapText="1"/>
    </xf>
    <xf numFmtId="0" fontId="0" fillId="0" borderId="0" xfId="0" applyAlignment="1">
      <alignment horizontal="left"/>
    </xf>
    <xf numFmtId="0" fontId="11" fillId="0" borderId="0" xfId="0" applyFont="1" applyAlignment="1">
      <alignment horizontal="left" vertical="center" wrapText="1"/>
    </xf>
    <xf numFmtId="0" fontId="14" fillId="0" borderId="0" xfId="0" applyFont="1"/>
    <xf numFmtId="0" fontId="0" fillId="0" borderId="6" xfId="0" applyBorder="1" applyAlignment="1">
      <alignment horizontal="center"/>
    </xf>
    <xf numFmtId="165" fontId="2" fillId="0" borderId="0" xfId="2" applyFont="1" applyProtection="1"/>
    <xf numFmtId="166" fontId="2" fillId="0" borderId="0" xfId="0" applyNumberFormat="1" applyFont="1"/>
    <xf numFmtId="0" fontId="2" fillId="3" borderId="2" xfId="0" applyFont="1" applyFill="1" applyBorder="1" applyAlignment="1">
      <alignment horizontal="left" vertical="center" indent="1"/>
    </xf>
    <xf numFmtId="165" fontId="0" fillId="0" borderId="0" xfId="2" applyFont="1" applyProtection="1"/>
    <xf numFmtId="0" fontId="0" fillId="4" borderId="8" xfId="0" applyFill="1" applyBorder="1" applyAlignment="1">
      <alignment horizontal="center" vertical="center"/>
    </xf>
    <xf numFmtId="166" fontId="2" fillId="0" borderId="0" xfId="2" applyNumberFormat="1" applyFont="1" applyProtection="1"/>
    <xf numFmtId="167" fontId="2" fillId="0" borderId="0" xfId="0" applyNumberFormat="1" applyFont="1" applyAlignment="1">
      <alignment horizontal="right"/>
    </xf>
    <xf numFmtId="0" fontId="15" fillId="0" borderId="0" xfId="0" applyFont="1"/>
    <xf numFmtId="0" fontId="0" fillId="7" borderId="0" xfId="0" applyFill="1"/>
    <xf numFmtId="0" fontId="8" fillId="7" borderId="0" xfId="0" applyFont="1" applyFill="1" applyAlignment="1">
      <alignment vertical="center" wrapText="1"/>
    </xf>
    <xf numFmtId="3" fontId="2" fillId="9" borderId="4" xfId="0" applyNumberFormat="1" applyFont="1" applyFill="1" applyBorder="1" applyAlignment="1">
      <alignment horizontal="center" vertical="center" wrapText="1"/>
    </xf>
    <xf numFmtId="0" fontId="2" fillId="9" borderId="4" xfId="0" applyFont="1" applyFill="1" applyBorder="1" applyAlignment="1">
      <alignment horizontal="center" vertical="center" wrapText="1"/>
    </xf>
    <xf numFmtId="0" fontId="2" fillId="9" borderId="4" xfId="0" applyFont="1" applyFill="1" applyBorder="1" applyAlignment="1">
      <alignment horizontal="left" vertical="center" wrapText="1" indent="1"/>
    </xf>
    <xf numFmtId="10" fontId="6" fillId="7" borderId="3" xfId="0" applyNumberFormat="1" applyFont="1" applyFill="1" applyBorder="1" applyAlignment="1">
      <alignment horizontal="center" vertical="center"/>
    </xf>
    <xf numFmtId="3" fontId="6" fillId="7" borderId="2" xfId="0" applyNumberFormat="1" applyFont="1" applyFill="1" applyBorder="1" applyAlignment="1">
      <alignment horizontal="center" vertical="center"/>
    </xf>
    <xf numFmtId="10" fontId="6" fillId="7"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9" borderId="4" xfId="0" applyFont="1" applyFill="1" applyBorder="1" applyAlignment="1">
      <alignment horizontal="center" vertical="center"/>
    </xf>
    <xf numFmtId="0" fontId="2" fillId="9" borderId="4" xfId="0" applyFont="1" applyFill="1" applyBorder="1" applyAlignment="1">
      <alignment horizontal="left" vertical="center" indent="1"/>
    </xf>
    <xf numFmtId="0" fontId="2" fillId="9" borderId="2" xfId="0" applyFont="1" applyFill="1" applyBorder="1" applyAlignment="1">
      <alignment horizontal="left" vertical="center" indent="1"/>
    </xf>
    <xf numFmtId="0" fontId="2" fillId="9" borderId="2" xfId="0" applyFont="1" applyFill="1" applyBorder="1" applyAlignment="1">
      <alignment horizontal="left" vertical="center" indent="2"/>
    </xf>
    <xf numFmtId="0" fontId="18" fillId="0" borderId="0" xfId="0" applyFont="1" applyAlignment="1">
      <alignment vertical="top"/>
    </xf>
    <xf numFmtId="0" fontId="20" fillId="0" borderId="0" xfId="0" applyFont="1" applyAlignment="1">
      <alignment vertical="center"/>
    </xf>
    <xf numFmtId="0" fontId="19" fillId="0" borderId="0" xfId="0" applyFont="1" applyAlignment="1">
      <alignment vertical="center"/>
    </xf>
    <xf numFmtId="0" fontId="20" fillId="0" borderId="0" xfId="0" applyFont="1"/>
    <xf numFmtId="0" fontId="9" fillId="7" borderId="0" xfId="0" applyFont="1" applyFill="1"/>
    <xf numFmtId="0" fontId="7" fillId="7" borderId="0" xfId="0" applyFont="1" applyFill="1" applyAlignment="1">
      <alignment vertical="center"/>
    </xf>
    <xf numFmtId="0" fontId="17" fillId="7" borderId="0" xfId="0" applyFont="1" applyFill="1" applyAlignment="1">
      <alignment vertical="center" wrapText="1"/>
    </xf>
    <xf numFmtId="0" fontId="9" fillId="7" borderId="0" xfId="1" applyFont="1" applyFill="1" applyAlignment="1" applyProtection="1">
      <alignment vertical="center"/>
    </xf>
    <xf numFmtId="0" fontId="15" fillId="4" borderId="0" xfId="0" applyFont="1" applyFill="1" applyProtection="1">
      <protection locked="0"/>
    </xf>
    <xf numFmtId="0" fontId="22" fillId="4" borderId="0" xfId="0" applyFont="1" applyFill="1"/>
    <xf numFmtId="0" fontId="15" fillId="4" borderId="0" xfId="0" applyFont="1" applyFill="1"/>
    <xf numFmtId="0" fontId="23" fillId="4" borderId="0" xfId="0" applyFont="1" applyFill="1"/>
    <xf numFmtId="0" fontId="5" fillId="0" borderId="0" xfId="0" applyFont="1" applyAlignment="1">
      <alignment horizontal="left" vertical="center" indent="1"/>
    </xf>
    <xf numFmtId="3" fontId="2" fillId="6" borderId="2" xfId="0" applyNumberFormat="1" applyFont="1" applyFill="1" applyBorder="1" applyAlignment="1">
      <alignment horizontal="center" vertical="center" wrapText="1"/>
    </xf>
    <xf numFmtId="0" fontId="2" fillId="5" borderId="4" xfId="0" applyFont="1" applyFill="1" applyBorder="1" applyAlignment="1">
      <alignment horizontal="center" vertical="center"/>
    </xf>
    <xf numFmtId="0" fontId="0" fillId="4" borderId="0" xfId="0" applyFill="1" applyAlignment="1">
      <alignment wrapText="1"/>
    </xf>
    <xf numFmtId="0" fontId="4" fillId="4" borderId="0" xfId="0" applyFont="1" applyFill="1"/>
    <xf numFmtId="3" fontId="2" fillId="9" borderId="4" xfId="0" applyNumberFormat="1" applyFont="1" applyFill="1" applyBorder="1" applyAlignment="1">
      <alignment horizontal="left" vertical="center" wrapText="1"/>
    </xf>
    <xf numFmtId="0" fontId="2" fillId="4" borderId="0" xfId="0" applyFont="1" applyFill="1"/>
    <xf numFmtId="165" fontId="0" fillId="4" borderId="0" xfId="2" applyFont="1" applyFill="1" applyProtection="1"/>
    <xf numFmtId="167" fontId="0" fillId="0" borderId="0" xfId="0" applyNumberFormat="1"/>
    <xf numFmtId="0" fontId="15" fillId="7" borderId="4" xfId="0" applyFont="1" applyFill="1" applyBorder="1" applyAlignment="1">
      <alignment horizontal="center" vertical="center"/>
    </xf>
    <xf numFmtId="167" fontId="15" fillId="7" borderId="4" xfId="0" applyNumberFormat="1" applyFont="1" applyFill="1" applyBorder="1" applyAlignment="1">
      <alignment horizontal="center" vertical="center"/>
    </xf>
    <xf numFmtId="2" fontId="15" fillId="7" borderId="5" xfId="0" applyNumberFormat="1" applyFont="1" applyFill="1" applyBorder="1" applyAlignment="1">
      <alignment horizontal="center" vertical="center"/>
    </xf>
    <xf numFmtId="4" fontId="0" fillId="0" borderId="0" xfId="0" applyNumberFormat="1"/>
    <xf numFmtId="0" fontId="0" fillId="0" borderId="0" xfId="0" applyAlignment="1">
      <alignment horizontal="center"/>
    </xf>
    <xf numFmtId="0" fontId="0" fillId="0" borderId="5" xfId="0" applyBorder="1"/>
    <xf numFmtId="0" fontId="0" fillId="7" borderId="2" xfId="0" applyFill="1" applyBorder="1"/>
    <xf numFmtId="167" fontId="0" fillId="7" borderId="2" xfId="0" applyNumberFormat="1" applyFill="1" applyBorder="1"/>
    <xf numFmtId="43" fontId="0" fillId="0" borderId="0" xfId="3" applyFont="1"/>
    <xf numFmtId="169" fontId="0" fillId="0" borderId="0" xfId="0" applyNumberFormat="1"/>
    <xf numFmtId="43" fontId="0" fillId="0" borderId="0" xfId="0" applyNumberFormat="1"/>
    <xf numFmtId="0" fontId="26" fillId="0" borderId="0" xfId="0" applyFont="1" applyAlignment="1">
      <alignment horizontal="center"/>
    </xf>
    <xf numFmtId="4" fontId="26" fillId="0" borderId="0" xfId="0" applyNumberFormat="1" applyFont="1"/>
    <xf numFmtId="3" fontId="31" fillId="6" borderId="2" xfId="0" applyNumberFormat="1" applyFont="1" applyFill="1" applyBorder="1" applyAlignment="1">
      <alignment horizontal="center" vertical="center" wrapText="1"/>
    </xf>
    <xf numFmtId="3" fontId="31" fillId="9" borderId="4" xfId="0" applyNumberFormat="1" applyFont="1" applyFill="1" applyBorder="1" applyAlignment="1">
      <alignment horizontal="center" vertical="center" wrapText="1"/>
    </xf>
    <xf numFmtId="3" fontId="32" fillId="7" borderId="2" xfId="0" applyNumberFormat="1" applyFont="1" applyFill="1" applyBorder="1" applyAlignment="1">
      <alignment horizontal="center" vertical="center"/>
    </xf>
    <xf numFmtId="0" fontId="14" fillId="4" borderId="7" xfId="0" applyFont="1" applyFill="1" applyBorder="1" applyAlignment="1" applyProtection="1">
      <alignment horizontal="left" vertical="center" wrapText="1"/>
      <protection locked="0"/>
    </xf>
    <xf numFmtId="167" fontId="14" fillId="4" borderId="7" xfId="0" applyNumberFormat="1" applyFont="1" applyFill="1" applyBorder="1" applyAlignment="1" applyProtection="1">
      <alignment horizontal="center" vertical="center"/>
      <protection locked="0"/>
    </xf>
    <xf numFmtId="10" fontId="32" fillId="7" borderId="2" xfId="0" applyNumberFormat="1" applyFont="1" applyFill="1" applyBorder="1" applyAlignment="1">
      <alignment horizontal="center" vertical="center"/>
    </xf>
    <xf numFmtId="0" fontId="31" fillId="9" borderId="4" xfId="0" applyFont="1" applyFill="1" applyBorder="1" applyAlignment="1">
      <alignment horizontal="center" vertical="center"/>
    </xf>
    <xf numFmtId="0" fontId="31" fillId="9" borderId="4" xfId="0" applyFont="1" applyFill="1" applyBorder="1" applyAlignment="1">
      <alignment horizontal="left" vertical="center" wrapText="1" indent="1"/>
    </xf>
    <xf numFmtId="3" fontId="33" fillId="9" borderId="4" xfId="0" applyNumberFormat="1" applyFont="1" applyFill="1" applyBorder="1" applyAlignment="1">
      <alignment horizontal="center" vertical="center" wrapText="1"/>
    </xf>
    <xf numFmtId="3" fontId="31" fillId="9" borderId="4" xfId="0" applyNumberFormat="1" applyFont="1" applyFill="1" applyBorder="1" applyAlignment="1">
      <alignment horizontal="left" vertical="center" wrapText="1"/>
    </xf>
    <xf numFmtId="10" fontId="14" fillId="7" borderId="2" xfId="0" applyNumberFormat="1" applyFont="1" applyFill="1" applyBorder="1" applyAlignment="1">
      <alignment horizontal="center" vertical="center"/>
    </xf>
    <xf numFmtId="0" fontId="26" fillId="0" borderId="0" xfId="0" applyFont="1"/>
    <xf numFmtId="10" fontId="34" fillId="7" borderId="2" xfId="0" applyNumberFormat="1" applyFont="1" applyFill="1" applyBorder="1" applyAlignment="1">
      <alignment horizontal="center" vertical="center"/>
    </xf>
    <xf numFmtId="3" fontId="25" fillId="6" borderId="2" xfId="0" applyNumberFormat="1" applyFont="1" applyFill="1" applyBorder="1" applyAlignment="1">
      <alignment horizontal="center" vertical="center" wrapText="1"/>
    </xf>
    <xf numFmtId="3" fontId="25" fillId="9" borderId="4" xfId="0" applyNumberFormat="1" applyFont="1" applyFill="1" applyBorder="1" applyAlignment="1">
      <alignment horizontal="center" vertical="center" wrapText="1"/>
    </xf>
    <xf numFmtId="0" fontId="25" fillId="9" borderId="2" xfId="0" applyFont="1" applyFill="1" applyBorder="1" applyAlignment="1">
      <alignment horizontal="center" vertical="center"/>
    </xf>
    <xf numFmtId="10" fontId="15" fillId="7" borderId="2" xfId="0" applyNumberFormat="1" applyFont="1" applyFill="1" applyBorder="1" applyAlignment="1">
      <alignment horizontal="center" vertical="center"/>
    </xf>
    <xf numFmtId="3" fontId="21" fillId="6" borderId="2" xfId="0" applyNumberFormat="1" applyFont="1" applyFill="1" applyBorder="1" applyAlignment="1">
      <alignment horizontal="center" vertical="center" wrapText="1"/>
    </xf>
    <xf numFmtId="0" fontId="29" fillId="0" borderId="0" xfId="0" applyFont="1"/>
    <xf numFmtId="0" fontId="21" fillId="9" borderId="2" xfId="0" applyFont="1" applyFill="1" applyBorder="1" applyAlignment="1">
      <alignment horizontal="center" vertical="center" wrapText="1"/>
    </xf>
    <xf numFmtId="0" fontId="21" fillId="9" borderId="4" xfId="0" applyFont="1" applyFill="1" applyBorder="1" applyAlignment="1">
      <alignment horizontal="center" vertical="center"/>
    </xf>
    <xf numFmtId="0" fontId="25" fillId="9" borderId="4" xfId="0" applyFont="1" applyFill="1" applyBorder="1" applyAlignment="1">
      <alignment horizontal="center" vertical="center"/>
    </xf>
    <xf numFmtId="3" fontId="30" fillId="6" borderId="2" xfId="0" applyNumberFormat="1" applyFont="1" applyFill="1" applyBorder="1" applyAlignment="1">
      <alignment horizontal="center" vertical="center" wrapText="1"/>
    </xf>
    <xf numFmtId="0" fontId="16" fillId="0" borderId="0" xfId="0" applyFont="1"/>
    <xf numFmtId="170" fontId="36" fillId="7" borderId="2" xfId="0" applyNumberFormat="1" applyFont="1" applyFill="1" applyBorder="1" applyAlignment="1">
      <alignment horizontal="center" vertical="center"/>
    </xf>
    <xf numFmtId="170" fontId="14" fillId="7" borderId="2" xfId="0" applyNumberFormat="1" applyFont="1" applyFill="1" applyBorder="1" applyAlignment="1">
      <alignment horizontal="center" vertical="center"/>
    </xf>
    <xf numFmtId="4" fontId="26" fillId="0" borderId="16" xfId="0" applyNumberFormat="1" applyFont="1" applyBorder="1"/>
    <xf numFmtId="0" fontId="26" fillId="0" borderId="15" xfId="0" applyFont="1" applyBorder="1"/>
    <xf numFmtId="170" fontId="0" fillId="4" borderId="7" xfId="0" applyNumberFormat="1" applyFill="1" applyBorder="1" applyAlignment="1" applyProtection="1">
      <alignment horizontal="center" vertical="center"/>
      <protection locked="0"/>
    </xf>
    <xf numFmtId="170" fontId="15" fillId="7" borderId="2" xfId="0" applyNumberFormat="1" applyFont="1" applyFill="1" applyBorder="1" applyAlignment="1">
      <alignment horizontal="center" vertical="center"/>
    </xf>
    <xf numFmtId="170" fontId="25" fillId="9" borderId="4" xfId="0" applyNumberFormat="1" applyFont="1" applyFill="1" applyBorder="1" applyAlignment="1">
      <alignment horizontal="center" vertical="center" wrapText="1"/>
    </xf>
    <xf numFmtId="3" fontId="21" fillId="9" borderId="4" xfId="0" applyNumberFormat="1" applyFont="1" applyFill="1" applyBorder="1" applyAlignment="1">
      <alignment horizontal="center" vertical="center" wrapText="1"/>
    </xf>
    <xf numFmtId="3" fontId="21" fillId="9" borderId="4" xfId="0" applyNumberFormat="1" applyFont="1" applyFill="1" applyBorder="1" applyAlignment="1">
      <alignment horizontal="left" vertical="center" wrapText="1"/>
    </xf>
    <xf numFmtId="170" fontId="0" fillId="0" borderId="15" xfId="0" applyNumberFormat="1" applyBorder="1"/>
    <xf numFmtId="0" fontId="0" fillId="0" borderId="16" xfId="0" applyBorder="1"/>
    <xf numFmtId="170" fontId="36" fillId="7" borderId="4" xfId="0" applyNumberFormat="1" applyFont="1" applyFill="1" applyBorder="1" applyAlignment="1">
      <alignment horizontal="center" vertical="center"/>
    </xf>
    <xf numFmtId="170" fontId="35" fillId="7" borderId="4" xfId="0" applyNumberFormat="1" applyFont="1" applyFill="1" applyBorder="1" applyAlignment="1">
      <alignment horizontal="center" vertical="center"/>
    </xf>
    <xf numFmtId="170" fontId="35" fillId="7" borderId="2" xfId="0" applyNumberFormat="1" applyFont="1" applyFill="1" applyBorder="1" applyAlignment="1">
      <alignment horizontal="center" vertical="center"/>
    </xf>
    <xf numFmtId="0" fontId="21" fillId="9" borderId="2" xfId="0" applyFont="1" applyFill="1" applyBorder="1" applyAlignment="1">
      <alignment horizontal="center" vertical="center"/>
    </xf>
    <xf numFmtId="3" fontId="38" fillId="7" borderId="2" xfId="0" applyNumberFormat="1" applyFont="1" applyFill="1" applyBorder="1" applyAlignment="1">
      <alignment horizontal="center" vertical="center"/>
    </xf>
    <xf numFmtId="10" fontId="38" fillId="7" borderId="2" xfId="0" applyNumberFormat="1" applyFont="1" applyFill="1" applyBorder="1" applyAlignment="1">
      <alignment horizontal="center" vertical="center"/>
    </xf>
    <xf numFmtId="170" fontId="0" fillId="4" borderId="8" xfId="0" applyNumberFormat="1" applyFill="1" applyBorder="1" applyAlignment="1">
      <alignment horizontal="center" vertical="center"/>
    </xf>
    <xf numFmtId="3" fontId="25" fillId="9" borderId="2" xfId="0" applyNumberFormat="1" applyFont="1" applyFill="1" applyBorder="1" applyAlignment="1">
      <alignment horizontal="center" vertical="center" wrapText="1"/>
    </xf>
    <xf numFmtId="0" fontId="25" fillId="9" borderId="2" xfId="0" applyFont="1" applyFill="1" applyBorder="1" applyAlignment="1">
      <alignment horizontal="left" vertical="center" wrapText="1" indent="1"/>
    </xf>
    <xf numFmtId="167" fontId="36" fillId="7" borderId="2" xfId="0" applyNumberFormat="1" applyFont="1" applyFill="1" applyBorder="1" applyAlignment="1">
      <alignment horizontal="center" vertical="center"/>
    </xf>
    <xf numFmtId="10" fontId="36" fillId="7" borderId="2" xfId="0" applyNumberFormat="1" applyFont="1" applyFill="1" applyBorder="1" applyAlignment="1">
      <alignment horizontal="center" vertical="center"/>
    </xf>
    <xf numFmtId="0" fontId="25" fillId="9" borderId="4" xfId="0" applyFont="1" applyFill="1" applyBorder="1" applyAlignment="1">
      <alignment horizontal="left" vertical="center" wrapText="1" indent="1"/>
    </xf>
    <xf numFmtId="10" fontId="36" fillId="7" borderId="4" xfId="0" applyNumberFormat="1" applyFont="1" applyFill="1" applyBorder="1" applyAlignment="1">
      <alignment horizontal="center" vertical="center"/>
    </xf>
    <xf numFmtId="3" fontId="25" fillId="9" borderId="2" xfId="0" applyNumberFormat="1" applyFont="1" applyFill="1" applyBorder="1" applyAlignment="1">
      <alignment horizontal="left" vertical="center" wrapText="1" indent="1"/>
    </xf>
    <xf numFmtId="10" fontId="35" fillId="7" borderId="2" xfId="0" applyNumberFormat="1" applyFont="1" applyFill="1" applyBorder="1" applyAlignment="1">
      <alignment horizontal="center" vertical="center"/>
    </xf>
    <xf numFmtId="0" fontId="0" fillId="0" borderId="17" xfId="0" applyBorder="1"/>
    <xf numFmtId="0" fontId="42" fillId="7" borderId="0" xfId="0" applyFont="1" applyFill="1" applyAlignment="1">
      <alignment vertical="center"/>
    </xf>
    <xf numFmtId="2" fontId="15" fillId="0" borderId="0" xfId="0" applyNumberFormat="1" applyFont="1"/>
    <xf numFmtId="0" fontId="15" fillId="0" borderId="0" xfId="0" applyFont="1" applyAlignment="1">
      <alignment horizontal="center"/>
    </xf>
    <xf numFmtId="0" fontId="14" fillId="0" borderId="0" xfId="0" applyFont="1" applyAlignment="1">
      <alignment horizontal="center"/>
    </xf>
    <xf numFmtId="9" fontId="0" fillId="0" borderId="0" xfId="4" applyFont="1" applyBorder="1"/>
    <xf numFmtId="0" fontId="16" fillId="0" borderId="0" xfId="0" applyFont="1" applyAlignment="1">
      <alignment horizontal="center"/>
    </xf>
    <xf numFmtId="0" fontId="5" fillId="0" borderId="0" xfId="0" applyFont="1" applyAlignment="1">
      <alignment horizontal="center"/>
    </xf>
    <xf numFmtId="0" fontId="5" fillId="0" borderId="0" xfId="0" applyFont="1"/>
    <xf numFmtId="0" fontId="26" fillId="4" borderId="0" xfId="0" applyFont="1" applyFill="1" applyAlignment="1">
      <alignment horizontal="center"/>
    </xf>
    <xf numFmtId="170" fontId="0" fillId="4" borderId="0" xfId="0" applyNumberFormat="1" applyFill="1"/>
    <xf numFmtId="170" fontId="0" fillId="0" borderId="0" xfId="0" applyNumberFormat="1"/>
    <xf numFmtId="43" fontId="5" fillId="0" borderId="0" xfId="0" applyNumberFormat="1" applyFont="1"/>
    <xf numFmtId="0" fontId="26" fillId="16" borderId="0" xfId="0" applyFont="1" applyFill="1" applyAlignment="1">
      <alignment horizontal="center"/>
    </xf>
    <xf numFmtId="0" fontId="29" fillId="0" borderId="0" xfId="0" applyFont="1" applyAlignment="1">
      <alignment horizontal="center"/>
    </xf>
    <xf numFmtId="0" fontId="43" fillId="17" borderId="38" xfId="0" applyFont="1" applyFill="1" applyBorder="1" applyAlignment="1">
      <alignment horizontal="center" vertical="center"/>
    </xf>
    <xf numFmtId="0" fontId="9" fillId="15" borderId="39" xfId="0" applyFont="1" applyFill="1" applyBorder="1" applyAlignment="1">
      <alignment horizontal="center" vertical="center"/>
    </xf>
    <xf numFmtId="0" fontId="9" fillId="10" borderId="40" xfId="0" applyFont="1" applyFill="1" applyBorder="1" applyAlignment="1">
      <alignment horizontal="center" vertical="center"/>
    </xf>
    <xf numFmtId="0" fontId="43" fillId="17" borderId="41" xfId="0" applyFont="1" applyFill="1" applyBorder="1" applyAlignment="1">
      <alignment horizontal="center" vertical="center"/>
    </xf>
    <xf numFmtId="0" fontId="9" fillId="15" borderId="42" xfId="0" applyFont="1" applyFill="1" applyBorder="1" applyAlignment="1">
      <alignment horizontal="center" vertical="center"/>
    </xf>
    <xf numFmtId="0" fontId="9" fillId="10" borderId="43" xfId="0" applyFont="1" applyFill="1" applyBorder="1" applyAlignment="1">
      <alignment horizontal="center" vertical="center"/>
    </xf>
    <xf numFmtId="0" fontId="0" fillId="0" borderId="47" xfId="0" applyBorder="1"/>
    <xf numFmtId="0" fontId="0" fillId="0" borderId="51" xfId="0" applyBorder="1"/>
    <xf numFmtId="0" fontId="21" fillId="10" borderId="53" xfId="0" applyFont="1" applyFill="1" applyBorder="1" applyAlignment="1">
      <alignment horizontal="center" vertical="center"/>
    </xf>
    <xf numFmtId="0" fontId="9" fillId="10" borderId="54" xfId="0" applyFont="1" applyFill="1" applyBorder="1" applyAlignment="1">
      <alignment horizontal="center" vertical="center"/>
    </xf>
    <xf numFmtId="0" fontId="25" fillId="0" borderId="0" xfId="0" applyFont="1"/>
    <xf numFmtId="0" fontId="35" fillId="18" borderId="13" xfId="0" applyFont="1" applyFill="1" applyBorder="1" applyAlignment="1">
      <alignment horizontal="center" vertical="center"/>
    </xf>
    <xf numFmtId="0" fontId="21" fillId="10" borderId="55" xfId="0" applyFont="1" applyFill="1" applyBorder="1" applyAlignment="1">
      <alignment horizontal="center" vertical="center" wrapText="1"/>
    </xf>
    <xf numFmtId="3" fontId="21" fillId="6" borderId="4" xfId="0" applyNumberFormat="1" applyFont="1" applyFill="1" applyBorder="1" applyAlignment="1">
      <alignment horizontal="center" vertical="center" wrapText="1"/>
    </xf>
    <xf numFmtId="3" fontId="21" fillId="6" borderId="4" xfId="0" applyNumberFormat="1" applyFont="1" applyFill="1" applyBorder="1" applyAlignment="1">
      <alignment vertical="center" wrapText="1"/>
    </xf>
    <xf numFmtId="3" fontId="25" fillId="4" borderId="5" xfId="0" applyNumberFormat="1" applyFont="1" applyFill="1" applyBorder="1" applyAlignment="1">
      <alignment vertical="center" wrapText="1"/>
    </xf>
    <xf numFmtId="0" fontId="0" fillId="0" borderId="31" xfId="0" applyBorder="1"/>
    <xf numFmtId="0" fontId="0" fillId="0" borderId="28" xfId="0" applyBorder="1"/>
    <xf numFmtId="0" fontId="0" fillId="12" borderId="0" xfId="0" applyFill="1"/>
    <xf numFmtId="43" fontId="0" fillId="12" borderId="0" xfId="3" applyFont="1" applyFill="1"/>
    <xf numFmtId="0" fontId="5" fillId="13" borderId="61" xfId="0" applyFont="1" applyFill="1" applyBorder="1" applyAlignment="1">
      <alignment horizontal="center"/>
    </xf>
    <xf numFmtId="0" fontId="5" fillId="13" borderId="62" xfId="0" applyFont="1" applyFill="1" applyBorder="1" applyAlignment="1">
      <alignment horizontal="center"/>
    </xf>
    <xf numFmtId="43" fontId="5" fillId="13" borderId="61" xfId="3" applyFont="1" applyFill="1" applyBorder="1" applyAlignment="1">
      <alignment horizontal="center"/>
    </xf>
    <xf numFmtId="0" fontId="16" fillId="21" borderId="63" xfId="0" applyFont="1" applyFill="1" applyBorder="1"/>
    <xf numFmtId="0" fontId="16" fillId="21" borderId="64" xfId="0" applyFont="1" applyFill="1" applyBorder="1"/>
    <xf numFmtId="0" fontId="16" fillId="14" borderId="65" xfId="0" applyFont="1" applyFill="1" applyBorder="1"/>
    <xf numFmtId="0" fontId="16" fillId="14" borderId="66" xfId="0" applyFont="1" applyFill="1" applyBorder="1"/>
    <xf numFmtId="0" fontId="16" fillId="24" borderId="65" xfId="0" applyFont="1" applyFill="1" applyBorder="1"/>
    <xf numFmtId="0" fontId="16" fillId="24" borderId="66" xfId="0" applyFont="1" applyFill="1" applyBorder="1"/>
    <xf numFmtId="0" fontId="16" fillId="23" borderId="65" xfId="0" applyFont="1" applyFill="1" applyBorder="1" applyAlignment="1">
      <alignment horizontal="left"/>
    </xf>
    <xf numFmtId="0" fontId="16" fillId="24" borderId="65" xfId="0" applyFont="1" applyFill="1" applyBorder="1" applyAlignment="1">
      <alignment horizontal="left"/>
    </xf>
    <xf numFmtId="0" fontId="16" fillId="21" borderId="65" xfId="0" applyFont="1" applyFill="1" applyBorder="1"/>
    <xf numFmtId="0" fontId="16" fillId="21" borderId="66" xfId="0" applyFont="1" applyFill="1" applyBorder="1"/>
    <xf numFmtId="0" fontId="16" fillId="24" borderId="66" xfId="0" applyFont="1" applyFill="1" applyBorder="1" applyAlignment="1">
      <alignment wrapText="1"/>
    </xf>
    <xf numFmtId="0" fontId="16" fillId="14" borderId="65" xfId="0" applyFont="1" applyFill="1" applyBorder="1" applyAlignment="1">
      <alignment horizontal="left"/>
    </xf>
    <xf numFmtId="0" fontId="16" fillId="14" borderId="66" xfId="0" applyFont="1" applyFill="1" applyBorder="1" applyAlignment="1">
      <alignment horizontal="left"/>
    </xf>
    <xf numFmtId="0" fontId="16" fillId="24" borderId="66" xfId="0" applyFont="1" applyFill="1" applyBorder="1" applyAlignment="1">
      <alignment horizontal="left"/>
    </xf>
    <xf numFmtId="0" fontId="16" fillId="22" borderId="65" xfId="0" applyFont="1" applyFill="1" applyBorder="1"/>
    <xf numFmtId="0" fontId="16" fillId="22" borderId="66" xfId="0" applyFont="1" applyFill="1" applyBorder="1"/>
    <xf numFmtId="0" fontId="46" fillId="24" borderId="65" xfId="0" applyFont="1" applyFill="1" applyBorder="1" applyAlignment="1">
      <alignment horizontal="left"/>
    </xf>
    <xf numFmtId="0" fontId="46" fillId="14" borderId="66" xfId="0" applyFont="1" applyFill="1" applyBorder="1"/>
    <xf numFmtId="0" fontId="46" fillId="12" borderId="66" xfId="0" applyFont="1" applyFill="1" applyBorder="1"/>
    <xf numFmtId="0" fontId="21" fillId="26" borderId="65" xfId="0" applyFont="1" applyFill="1" applyBorder="1" applyAlignment="1">
      <alignment horizontal="left"/>
    </xf>
    <xf numFmtId="0" fontId="21" fillId="27" borderId="66" xfId="0" applyFont="1" applyFill="1" applyBorder="1"/>
    <xf numFmtId="0" fontId="30" fillId="12" borderId="66" xfId="0" applyFont="1" applyFill="1" applyBorder="1"/>
    <xf numFmtId="0" fontId="46" fillId="24" borderId="66" xfId="0" applyFont="1" applyFill="1" applyBorder="1"/>
    <xf numFmtId="0" fontId="16" fillId="28" borderId="65" xfId="0" applyFont="1" applyFill="1" applyBorder="1" applyAlignment="1">
      <alignment horizontal="left"/>
    </xf>
    <xf numFmtId="0" fontId="30" fillId="28" borderId="66" xfId="0" applyFont="1" applyFill="1" applyBorder="1"/>
    <xf numFmtId="0" fontId="0" fillId="12" borderId="0" xfId="0" applyFill="1" applyAlignment="1">
      <alignment horizontal="left"/>
    </xf>
    <xf numFmtId="0" fontId="26" fillId="0" borderId="0" xfId="0" applyFont="1" applyAlignment="1">
      <alignment horizontal="center" wrapText="1"/>
    </xf>
    <xf numFmtId="0" fontId="25" fillId="0" borderId="0" xfId="0" applyFont="1" applyAlignment="1">
      <alignment horizontal="center"/>
    </xf>
    <xf numFmtId="0" fontId="14" fillId="11" borderId="75" xfId="0" applyFont="1" applyFill="1" applyBorder="1" applyAlignment="1">
      <alignment horizontal="left"/>
    </xf>
    <xf numFmtId="0" fontId="29" fillId="11" borderId="13" xfId="0" applyFont="1" applyFill="1" applyBorder="1"/>
    <xf numFmtId="0" fontId="14" fillId="11" borderId="13" xfId="0" applyFont="1" applyFill="1" applyBorder="1" applyAlignment="1">
      <alignment horizontal="center"/>
    </xf>
    <xf numFmtId="0" fontId="14" fillId="11" borderId="76" xfId="0" applyFont="1" applyFill="1" applyBorder="1"/>
    <xf numFmtId="0" fontId="14" fillId="11" borderId="75" xfId="0" applyFont="1" applyFill="1" applyBorder="1"/>
    <xf numFmtId="0" fontId="29" fillId="11" borderId="13" xfId="0" applyFont="1" applyFill="1" applyBorder="1" applyAlignment="1">
      <alignment horizontal="center"/>
    </xf>
    <xf numFmtId="0" fontId="0" fillId="11" borderId="75" xfId="0" applyFill="1" applyBorder="1"/>
    <xf numFmtId="0" fontId="0" fillId="11" borderId="13" xfId="0" applyFill="1" applyBorder="1"/>
    <xf numFmtId="0" fontId="26" fillId="11" borderId="13" xfId="0" applyFont="1" applyFill="1" applyBorder="1" applyAlignment="1">
      <alignment horizontal="left"/>
    </xf>
    <xf numFmtId="0" fontId="0" fillId="11" borderId="76" xfId="0" applyFill="1" applyBorder="1"/>
    <xf numFmtId="0" fontId="26" fillId="0" borderId="0" xfId="0" applyFont="1" applyAlignment="1">
      <alignment horizontal="left"/>
    </xf>
    <xf numFmtId="0" fontId="0" fillId="0" borderId="72" xfId="0" applyBorder="1"/>
    <xf numFmtId="0" fontId="0" fillId="0" borderId="68" xfId="0" applyBorder="1"/>
    <xf numFmtId="0" fontId="0" fillId="11" borderId="72" xfId="0" applyFill="1" applyBorder="1"/>
    <xf numFmtId="0" fontId="0" fillId="11" borderId="0" xfId="0" applyFill="1"/>
    <xf numFmtId="0" fontId="26" fillId="11" borderId="0" xfId="0" applyFont="1" applyFill="1" applyAlignment="1">
      <alignment horizontal="left"/>
    </xf>
    <xf numFmtId="0" fontId="0" fillId="11" borderId="68" xfId="0" applyFill="1" applyBorder="1"/>
    <xf numFmtId="0" fontId="0" fillId="0" borderId="0" xfId="0" applyAlignment="1">
      <alignment horizontal="left" wrapText="1"/>
    </xf>
    <xf numFmtId="0" fontId="29" fillId="0" borderId="0" xfId="0" applyFont="1" applyAlignment="1">
      <alignment horizontal="left"/>
    </xf>
    <xf numFmtId="0" fontId="0" fillId="11" borderId="0" xfId="0" applyFill="1" applyAlignment="1">
      <alignment horizontal="center"/>
    </xf>
    <xf numFmtId="0" fontId="15" fillId="11" borderId="0" xfId="0" applyFont="1" applyFill="1"/>
    <xf numFmtId="0" fontId="29" fillId="11" borderId="75" xfId="0" applyFont="1" applyFill="1" applyBorder="1"/>
    <xf numFmtId="0" fontId="0" fillId="11" borderId="13" xfId="0" applyFill="1" applyBorder="1" applyAlignment="1">
      <alignment horizontal="center"/>
    </xf>
    <xf numFmtId="0" fontId="14" fillId="11" borderId="72" xfId="0" applyFont="1" applyFill="1" applyBorder="1" applyAlignment="1">
      <alignment horizontal="left"/>
    </xf>
    <xf numFmtId="0" fontId="29" fillId="11" borderId="0" xfId="0" applyFont="1" applyFill="1"/>
    <xf numFmtId="0" fontId="14" fillId="11" borderId="0" xfId="0" applyFont="1" applyFill="1" applyAlignment="1">
      <alignment horizontal="center"/>
    </xf>
    <xf numFmtId="0" fontId="14" fillId="11" borderId="68" xfId="0" applyFont="1" applyFill="1" applyBorder="1"/>
    <xf numFmtId="0" fontId="14" fillId="0" borderId="31" xfId="0" applyFont="1" applyBorder="1"/>
    <xf numFmtId="0" fontId="14" fillId="11" borderId="72" xfId="0" applyFont="1" applyFill="1" applyBorder="1"/>
    <xf numFmtId="0" fontId="29" fillId="11" borderId="0" xfId="0" applyFont="1" applyFill="1" applyAlignment="1">
      <alignment horizontal="center"/>
    </xf>
    <xf numFmtId="0" fontId="0" fillId="0" borderId="77" xfId="0" applyBorder="1"/>
    <xf numFmtId="0" fontId="0" fillId="0" borderId="78" xfId="0" applyBorder="1"/>
    <xf numFmtId="0" fontId="0" fillId="0" borderId="79" xfId="0" applyBorder="1"/>
    <xf numFmtId="0" fontId="0" fillId="0" borderId="69" xfId="0" applyBorder="1"/>
    <xf numFmtId="0" fontId="29" fillId="0" borderId="70" xfId="0" applyFont="1" applyBorder="1" applyAlignment="1">
      <alignment horizontal="center"/>
    </xf>
    <xf numFmtId="0" fontId="0" fillId="0" borderId="70" xfId="0" applyBorder="1" applyAlignment="1">
      <alignment horizontal="left"/>
    </xf>
    <xf numFmtId="0" fontId="0" fillId="0" borderId="71" xfId="0" applyBorder="1"/>
    <xf numFmtId="0" fontId="0" fillId="0" borderId="78" xfId="0" applyBorder="1" applyAlignment="1">
      <alignment horizontal="center"/>
    </xf>
    <xf numFmtId="0" fontId="0" fillId="0" borderId="70" xfId="0" applyBorder="1" applyAlignment="1">
      <alignment horizontal="center"/>
    </xf>
    <xf numFmtId="0" fontId="26" fillId="0" borderId="70" xfId="0" applyFont="1" applyBorder="1" applyAlignment="1">
      <alignment horizontal="left"/>
    </xf>
    <xf numFmtId="0" fontId="16" fillId="0" borderId="0" xfId="0" applyFont="1" applyAlignment="1">
      <alignment wrapText="1"/>
    </xf>
    <xf numFmtId="0" fontId="31" fillId="9" borderId="2" xfId="0" applyFont="1" applyFill="1" applyBorder="1" applyAlignment="1">
      <alignment horizontal="center" vertical="center"/>
    </xf>
    <xf numFmtId="3" fontId="21" fillId="6" borderId="0" xfId="0" applyNumberFormat="1" applyFont="1" applyFill="1" applyAlignment="1">
      <alignment horizontal="center" vertical="center" wrapText="1"/>
    </xf>
    <xf numFmtId="10" fontId="15" fillId="7" borderId="4" xfId="0" applyNumberFormat="1" applyFont="1" applyFill="1" applyBorder="1" applyAlignment="1">
      <alignment horizontal="center" vertical="center"/>
    </xf>
    <xf numFmtId="10" fontId="15" fillId="7" borderId="3" xfId="0" applyNumberFormat="1" applyFont="1" applyFill="1" applyBorder="1" applyAlignment="1">
      <alignment horizontal="center" vertical="center"/>
    </xf>
    <xf numFmtId="170" fontId="36" fillId="7" borderId="3" xfId="0" applyNumberFormat="1" applyFont="1" applyFill="1" applyBorder="1" applyAlignment="1">
      <alignment horizontal="center" vertical="center"/>
    </xf>
    <xf numFmtId="0" fontId="0" fillId="0" borderId="10" xfId="0" applyBorder="1"/>
    <xf numFmtId="0" fontId="0" fillId="0" borderId="11" xfId="0" applyBorder="1"/>
    <xf numFmtId="0" fontId="0" fillId="0" borderId="9" xfId="0" applyBorder="1"/>
    <xf numFmtId="0" fontId="0" fillId="0" borderId="60" xfId="0" applyBorder="1"/>
    <xf numFmtId="10" fontId="15" fillId="7" borderId="6" xfId="0" applyNumberFormat="1" applyFont="1" applyFill="1" applyBorder="1" applyAlignment="1">
      <alignment horizontal="center" vertical="center"/>
    </xf>
    <xf numFmtId="0" fontId="0" fillId="0" borderId="1" xfId="0" applyBorder="1"/>
    <xf numFmtId="0" fontId="0" fillId="0" borderId="58" xfId="0" applyBorder="1"/>
    <xf numFmtId="0" fontId="0" fillId="0" borderId="85" xfId="0" applyBorder="1"/>
    <xf numFmtId="3" fontId="21" fillId="6" borderId="58" xfId="0" applyNumberFormat="1" applyFont="1" applyFill="1" applyBorder="1" applyAlignment="1">
      <alignment horizontal="center" vertical="center" wrapText="1"/>
    </xf>
    <xf numFmtId="3" fontId="21" fillId="6" borderId="85" xfId="0" applyNumberFormat="1" applyFont="1" applyFill="1" applyBorder="1" applyAlignment="1">
      <alignment horizontal="center" vertical="center" wrapText="1"/>
    </xf>
    <xf numFmtId="3" fontId="21" fillId="6" borderId="11" xfId="0" applyNumberFormat="1" applyFont="1" applyFill="1" applyBorder="1" applyAlignment="1">
      <alignment horizontal="center" vertical="center" wrapText="1"/>
    </xf>
    <xf numFmtId="10" fontId="15" fillId="30" borderId="81" xfId="0" applyNumberFormat="1" applyFont="1" applyFill="1" applyBorder="1" applyAlignment="1">
      <alignment horizontal="center" vertical="center"/>
    </xf>
    <xf numFmtId="10" fontId="15" fillId="30" borderId="2" xfId="0" applyNumberFormat="1" applyFont="1" applyFill="1" applyBorder="1" applyAlignment="1">
      <alignment horizontal="center" vertical="center"/>
    </xf>
    <xf numFmtId="10" fontId="15" fillId="30" borderId="82" xfId="0" applyNumberFormat="1" applyFont="1" applyFill="1" applyBorder="1" applyAlignment="1">
      <alignment horizontal="center" vertical="center"/>
    </xf>
    <xf numFmtId="10" fontId="15" fillId="30" borderId="1" xfId="0" applyNumberFormat="1" applyFont="1" applyFill="1" applyBorder="1" applyAlignment="1">
      <alignment horizontal="center" vertical="center"/>
    </xf>
    <xf numFmtId="10" fontId="15" fillId="30" borderId="3" xfId="0" applyNumberFormat="1" applyFont="1" applyFill="1" applyBorder="1" applyAlignment="1">
      <alignment horizontal="center" vertical="center"/>
    </xf>
    <xf numFmtId="10" fontId="15" fillId="30" borderId="83" xfId="0" applyNumberFormat="1" applyFont="1" applyFill="1" applyBorder="1" applyAlignment="1">
      <alignment horizontal="center" vertical="center"/>
    </xf>
    <xf numFmtId="10" fontId="15" fillId="30" borderId="10" xfId="0" applyNumberFormat="1" applyFont="1" applyFill="1" applyBorder="1" applyAlignment="1">
      <alignment horizontal="center" vertical="center"/>
    </xf>
    <xf numFmtId="10" fontId="15" fillId="30" borderId="84" xfId="0" applyNumberFormat="1" applyFont="1" applyFill="1" applyBorder="1" applyAlignment="1">
      <alignment horizontal="center" vertical="center"/>
    </xf>
    <xf numFmtId="10" fontId="15" fillId="30" borderId="85" xfId="0" applyNumberFormat="1" applyFont="1" applyFill="1" applyBorder="1" applyAlignment="1">
      <alignment horizontal="center" vertical="center"/>
    </xf>
    <xf numFmtId="0" fontId="0" fillId="30" borderId="84" xfId="0" applyFill="1" applyBorder="1"/>
    <xf numFmtId="0" fontId="0" fillId="30" borderId="2" xfId="0" applyFill="1" applyBorder="1"/>
    <xf numFmtId="0" fontId="0" fillId="30" borderId="1" xfId="0" applyFill="1" applyBorder="1"/>
    <xf numFmtId="0" fontId="0" fillId="30" borderId="3" xfId="0" applyFill="1" applyBorder="1"/>
    <xf numFmtId="0" fontId="0" fillId="30" borderId="10" xfId="0" applyFill="1" applyBorder="1"/>
    <xf numFmtId="0" fontId="0" fillId="30" borderId="85" xfId="0" applyFill="1" applyBorder="1"/>
    <xf numFmtId="4" fontId="0" fillId="30" borderId="1" xfId="0" applyNumberFormat="1" applyFill="1" applyBorder="1"/>
    <xf numFmtId="170" fontId="21" fillId="9" borderId="0" xfId="0" applyNumberFormat="1" applyFont="1" applyFill="1" applyAlignment="1">
      <alignment horizontal="center" vertical="center"/>
    </xf>
    <xf numFmtId="0" fontId="31" fillId="9" borderId="0" xfId="0" applyFont="1" applyFill="1" applyAlignment="1">
      <alignment horizontal="center" vertical="center"/>
    </xf>
    <xf numFmtId="10" fontId="32" fillId="7" borderId="0" xfId="0" applyNumberFormat="1" applyFont="1" applyFill="1" applyAlignment="1">
      <alignment horizontal="center" vertical="center"/>
    </xf>
    <xf numFmtId="167" fontId="31" fillId="9" borderId="0" xfId="0" applyNumberFormat="1" applyFont="1" applyFill="1" applyAlignment="1">
      <alignment horizontal="center" vertical="center"/>
    </xf>
    <xf numFmtId="10" fontId="14" fillId="7" borderId="3" xfId="0" applyNumberFormat="1" applyFont="1" applyFill="1" applyBorder="1" applyAlignment="1">
      <alignment horizontal="center" vertical="center"/>
    </xf>
    <xf numFmtId="170" fontId="21" fillId="9" borderId="85" xfId="0" applyNumberFormat="1" applyFont="1" applyFill="1" applyBorder="1" applyAlignment="1">
      <alignment horizontal="center" vertical="center"/>
    </xf>
    <xf numFmtId="10" fontId="34" fillId="30" borderId="85" xfId="0" applyNumberFormat="1" applyFont="1" applyFill="1" applyBorder="1" applyAlignment="1">
      <alignment horizontal="center" vertical="center"/>
    </xf>
    <xf numFmtId="10" fontId="34" fillId="30" borderId="84" xfId="0" applyNumberFormat="1" applyFont="1" applyFill="1" applyBorder="1" applyAlignment="1">
      <alignment horizontal="center" vertical="center"/>
    </xf>
    <xf numFmtId="10" fontId="34" fillId="30" borderId="10" xfId="0" applyNumberFormat="1" applyFont="1" applyFill="1" applyBorder="1" applyAlignment="1">
      <alignment horizontal="center" vertical="center"/>
    </xf>
    <xf numFmtId="10" fontId="34" fillId="30" borderId="2" xfId="0" applyNumberFormat="1" applyFont="1" applyFill="1" applyBorder="1" applyAlignment="1">
      <alignment horizontal="center" vertical="center"/>
    </xf>
    <xf numFmtId="10" fontId="34" fillId="30" borderId="1" xfId="0" applyNumberFormat="1" applyFont="1" applyFill="1" applyBorder="1" applyAlignment="1">
      <alignment horizontal="center" vertical="center"/>
    </xf>
    <xf numFmtId="170" fontId="21" fillId="9" borderId="11" xfId="0" applyNumberFormat="1" applyFont="1" applyFill="1" applyBorder="1" applyAlignment="1">
      <alignment horizontal="center" vertical="center"/>
    </xf>
    <xf numFmtId="170" fontId="21" fillId="9" borderId="84" xfId="0" applyNumberFormat="1" applyFont="1" applyFill="1" applyBorder="1" applyAlignment="1">
      <alignment horizontal="center" vertical="center"/>
    </xf>
    <xf numFmtId="0" fontId="31" fillId="9" borderId="85" xfId="0" applyFont="1" applyFill="1" applyBorder="1" applyAlignment="1">
      <alignment horizontal="center" vertical="center"/>
    </xf>
    <xf numFmtId="10" fontId="32" fillId="30" borderId="3" xfId="0" applyNumberFormat="1" applyFont="1" applyFill="1" applyBorder="1" applyAlignment="1">
      <alignment horizontal="center" vertical="center"/>
    </xf>
    <xf numFmtId="10" fontId="32" fillId="30" borderId="10" xfId="0" applyNumberFormat="1" applyFont="1" applyFill="1" applyBorder="1" applyAlignment="1">
      <alignment horizontal="center" vertical="center"/>
    </xf>
    <xf numFmtId="10" fontId="32" fillId="30" borderId="2" xfId="0" applyNumberFormat="1" applyFont="1" applyFill="1" applyBorder="1" applyAlignment="1">
      <alignment horizontal="center" vertical="center"/>
    </xf>
    <xf numFmtId="10" fontId="32" fillId="30" borderId="1" xfId="0" applyNumberFormat="1" applyFont="1" applyFill="1" applyBorder="1" applyAlignment="1">
      <alignment horizontal="center" vertical="center"/>
    </xf>
    <xf numFmtId="10" fontId="6" fillId="7" borderId="0" xfId="0" applyNumberFormat="1" applyFont="1" applyFill="1" applyAlignment="1">
      <alignment horizontal="center" vertical="center"/>
    </xf>
    <xf numFmtId="170" fontId="25" fillId="9" borderId="0" xfId="0" applyNumberFormat="1" applyFont="1" applyFill="1" applyAlignment="1">
      <alignment horizontal="center" vertical="center"/>
    </xf>
    <xf numFmtId="167" fontId="2" fillId="9" borderId="0" xfId="0" applyNumberFormat="1" applyFont="1" applyFill="1" applyAlignment="1">
      <alignment horizontal="center" vertical="center"/>
    </xf>
    <xf numFmtId="3" fontId="32" fillId="7" borderId="3" xfId="0" applyNumberFormat="1" applyFont="1" applyFill="1" applyBorder="1" applyAlignment="1">
      <alignment horizontal="center" vertical="center"/>
    </xf>
    <xf numFmtId="10" fontId="14" fillId="7" borderId="6" xfId="0" applyNumberFormat="1" applyFont="1" applyFill="1" applyBorder="1" applyAlignment="1">
      <alignment horizontal="center" vertical="center"/>
    </xf>
    <xf numFmtId="10" fontId="14" fillId="7" borderId="84" xfId="0" applyNumberFormat="1" applyFont="1" applyFill="1" applyBorder="1" applyAlignment="1">
      <alignment horizontal="center" vertical="center"/>
    </xf>
    <xf numFmtId="170" fontId="14" fillId="7" borderId="86" xfId="0" applyNumberFormat="1" applyFont="1" applyFill="1" applyBorder="1" applyAlignment="1">
      <alignment horizontal="center" vertical="center"/>
    </xf>
    <xf numFmtId="170" fontId="14" fillId="7" borderId="1" xfId="0" applyNumberFormat="1" applyFont="1" applyFill="1" applyBorder="1" applyAlignment="1">
      <alignment horizontal="center" vertical="center"/>
    </xf>
    <xf numFmtId="170" fontId="14" fillId="7" borderId="59" xfId="0" applyNumberFormat="1" applyFont="1" applyFill="1" applyBorder="1" applyAlignment="1">
      <alignment horizontal="center" vertical="center"/>
    </xf>
    <xf numFmtId="170" fontId="14" fillId="7" borderId="87" xfId="0" applyNumberFormat="1" applyFont="1" applyFill="1" applyBorder="1" applyAlignment="1">
      <alignment horizontal="center" vertical="center"/>
    </xf>
    <xf numFmtId="0" fontId="14" fillId="4" borderId="2" xfId="0" applyFont="1" applyFill="1" applyBorder="1" applyAlignment="1" applyProtection="1">
      <alignment horizontal="left" vertical="center" wrapText="1"/>
      <protection locked="0"/>
    </xf>
    <xf numFmtId="0" fontId="14" fillId="4" borderId="84" xfId="0" applyFont="1" applyFill="1" applyBorder="1" applyAlignment="1" applyProtection="1">
      <alignment horizontal="left" vertical="center" wrapText="1"/>
      <protection locked="0"/>
    </xf>
    <xf numFmtId="170" fontId="14" fillId="7" borderId="8" xfId="0" applyNumberFormat="1" applyFont="1" applyFill="1" applyBorder="1" applyAlignment="1">
      <alignment horizontal="center" vertical="center"/>
    </xf>
    <xf numFmtId="0" fontId="14" fillId="4" borderId="88" xfId="0" applyFont="1" applyFill="1" applyBorder="1" applyAlignment="1" applyProtection="1">
      <alignment horizontal="left" vertical="center" wrapText="1"/>
      <protection locked="0"/>
    </xf>
    <xf numFmtId="0" fontId="14" fillId="4" borderId="3" xfId="0" applyFont="1" applyFill="1" applyBorder="1" applyAlignment="1" applyProtection="1">
      <alignment horizontal="left" vertical="center" wrapText="1"/>
      <protection locked="0"/>
    </xf>
    <xf numFmtId="10" fontId="34" fillId="7" borderId="3" xfId="0" applyNumberFormat="1" applyFont="1" applyFill="1" applyBorder="1" applyAlignment="1">
      <alignment horizontal="center" vertical="center"/>
    </xf>
    <xf numFmtId="170" fontId="14" fillId="7" borderId="8" xfId="0" applyNumberFormat="1" applyFont="1" applyFill="1" applyBorder="1" applyAlignment="1" applyProtection="1">
      <alignment horizontal="center" vertical="center"/>
      <protection locked="0"/>
    </xf>
    <xf numFmtId="0" fontId="0" fillId="0" borderId="84" xfId="0" applyBorder="1"/>
    <xf numFmtId="170" fontId="14" fillId="7" borderId="10" xfId="0" applyNumberFormat="1" applyFont="1" applyFill="1" applyBorder="1" applyAlignment="1" applyProtection="1">
      <alignment horizontal="center" vertical="center"/>
      <protection locked="0"/>
    </xf>
    <xf numFmtId="170" fontId="14" fillId="7" borderId="2" xfId="0" applyNumberFormat="1" applyFont="1" applyFill="1" applyBorder="1" applyAlignment="1" applyProtection="1">
      <alignment horizontal="center" vertical="center"/>
      <protection locked="0"/>
    </xf>
    <xf numFmtId="170" fontId="14" fillId="7" borderId="59" xfId="0" applyNumberFormat="1" applyFont="1" applyFill="1" applyBorder="1" applyAlignment="1" applyProtection="1">
      <alignment horizontal="center" vertical="center"/>
      <protection locked="0"/>
    </xf>
    <xf numFmtId="0" fontId="0" fillId="0" borderId="6" xfId="0" applyBorder="1"/>
    <xf numFmtId="167" fontId="14" fillId="7" borderId="2" xfId="0" applyNumberFormat="1" applyFont="1" applyFill="1" applyBorder="1" applyAlignment="1" applyProtection="1">
      <alignment horizontal="center" vertical="center"/>
      <protection locked="0"/>
    </xf>
    <xf numFmtId="167" fontId="14" fillId="7" borderId="3" xfId="0" applyNumberFormat="1" applyFont="1" applyFill="1" applyBorder="1" applyAlignment="1" applyProtection="1">
      <alignment horizontal="center" vertical="center"/>
      <protection locked="0"/>
    </xf>
    <xf numFmtId="167" fontId="14" fillId="7" borderId="59" xfId="0" applyNumberFormat="1" applyFont="1" applyFill="1" applyBorder="1" applyAlignment="1" applyProtection="1">
      <alignment horizontal="center" vertical="center"/>
      <protection locked="0"/>
    </xf>
    <xf numFmtId="167" fontId="14" fillId="7" borderId="6" xfId="0" applyNumberFormat="1" applyFont="1" applyFill="1" applyBorder="1" applyAlignment="1" applyProtection="1">
      <alignment horizontal="center" vertical="center"/>
      <protection locked="0"/>
    </xf>
    <xf numFmtId="3" fontId="31" fillId="6" borderId="0" xfId="0" applyNumberFormat="1" applyFont="1" applyFill="1" applyAlignment="1">
      <alignment horizontal="center" vertical="center" wrapText="1"/>
    </xf>
    <xf numFmtId="0" fontId="0" fillId="0" borderId="2" xfId="0" applyBorder="1"/>
    <xf numFmtId="0" fontId="0" fillId="0" borderId="4" xfId="0" applyBorder="1"/>
    <xf numFmtId="4" fontId="0" fillId="0" borderId="3" xfId="0" applyNumberFormat="1" applyBorder="1"/>
    <xf numFmtId="0" fontId="0" fillId="0" borderId="3" xfId="0" applyBorder="1"/>
    <xf numFmtId="43" fontId="0" fillId="0" borderId="3" xfId="3" applyFont="1" applyFill="1" applyBorder="1"/>
    <xf numFmtId="169" fontId="0" fillId="0" borderId="2" xfId="0" applyNumberFormat="1" applyBorder="1"/>
    <xf numFmtId="10" fontId="6" fillId="7" borderId="84" xfId="0" applyNumberFormat="1" applyFont="1" applyFill="1" applyBorder="1" applyAlignment="1">
      <alignment horizontal="center" vertical="center"/>
    </xf>
    <xf numFmtId="170" fontId="0" fillId="4" borderId="8" xfId="0" applyNumberFormat="1" applyFill="1" applyBorder="1" applyAlignment="1" applyProtection="1">
      <alignment horizontal="center" vertical="center"/>
      <protection locked="0"/>
    </xf>
    <xf numFmtId="170" fontId="0" fillId="4" borderId="89" xfId="0" applyNumberFormat="1" applyFill="1" applyBorder="1" applyAlignment="1" applyProtection="1">
      <alignment horizontal="center" vertical="center"/>
      <protection locked="0"/>
    </xf>
    <xf numFmtId="170" fontId="15" fillId="4" borderId="89" xfId="0" applyNumberFormat="1" applyFont="1" applyFill="1" applyBorder="1" applyAlignment="1" applyProtection="1">
      <alignment horizontal="center" vertical="center"/>
      <protection locked="0"/>
    </xf>
    <xf numFmtId="170" fontId="0" fillId="4" borderId="59" xfId="0" applyNumberFormat="1" applyFill="1" applyBorder="1" applyAlignment="1" applyProtection="1">
      <alignment horizontal="center" vertical="center"/>
      <protection locked="0"/>
    </xf>
    <xf numFmtId="170" fontId="0" fillId="4" borderId="6" xfId="0" applyNumberFormat="1" applyFill="1" applyBorder="1" applyAlignment="1" applyProtection="1">
      <alignment horizontal="center" vertical="center"/>
      <protection locked="0"/>
    </xf>
    <xf numFmtId="170" fontId="15" fillId="4" borderId="6" xfId="0" applyNumberFormat="1" applyFont="1" applyFill="1" applyBorder="1" applyAlignment="1" applyProtection="1">
      <alignment horizontal="center" vertical="center"/>
      <protection locked="0"/>
    </xf>
    <xf numFmtId="170" fontId="15" fillId="4" borderId="2" xfId="0" applyNumberFormat="1" applyFont="1" applyFill="1" applyBorder="1" applyAlignment="1" applyProtection="1">
      <alignment horizontal="center" vertical="center"/>
      <protection locked="0"/>
    </xf>
    <xf numFmtId="170" fontId="27" fillId="4" borderId="2" xfId="0" applyNumberFormat="1" applyFont="1" applyFill="1" applyBorder="1" applyAlignment="1" applyProtection="1">
      <alignment horizontal="center" vertical="center"/>
      <protection locked="0"/>
    </xf>
    <xf numFmtId="170" fontId="0" fillId="4" borderId="2" xfId="0" applyNumberFormat="1" applyFill="1" applyBorder="1" applyAlignment="1" applyProtection="1">
      <alignment horizontal="center" vertical="center"/>
      <protection locked="0"/>
    </xf>
    <xf numFmtId="0" fontId="0" fillId="4" borderId="88" xfId="0" applyFill="1" applyBorder="1" applyAlignment="1" applyProtection="1">
      <alignment horizontal="left" vertical="center" wrapText="1"/>
      <protection locked="0"/>
    </xf>
    <xf numFmtId="0" fontId="0" fillId="4" borderId="2" xfId="0" applyFill="1" applyBorder="1" applyAlignment="1" applyProtection="1">
      <alignment horizontal="left" vertical="center" wrapText="1"/>
      <protection locked="0"/>
    </xf>
    <xf numFmtId="170" fontId="0" fillId="4" borderId="90" xfId="0" applyNumberFormat="1" applyFill="1" applyBorder="1" applyAlignment="1" applyProtection="1">
      <alignment horizontal="center" vertical="center"/>
      <protection locked="0"/>
    </xf>
    <xf numFmtId="170" fontId="0" fillId="4" borderId="3" xfId="0" applyNumberFormat="1" applyFill="1" applyBorder="1" applyAlignment="1" applyProtection="1">
      <alignment horizontal="center" vertical="center"/>
      <protection locked="0"/>
    </xf>
    <xf numFmtId="170" fontId="0" fillId="4" borderId="1" xfId="0" applyNumberFormat="1" applyFill="1" applyBorder="1" applyAlignment="1" applyProtection="1">
      <alignment horizontal="center" vertical="center"/>
      <protection locked="0"/>
    </xf>
    <xf numFmtId="0" fontId="0" fillId="4" borderId="3" xfId="0" applyFill="1" applyBorder="1" applyAlignment="1" applyProtection="1">
      <alignment horizontal="left" vertical="center" wrapText="1"/>
      <protection locked="0"/>
    </xf>
    <xf numFmtId="0" fontId="0" fillId="4" borderId="84" xfId="0" applyFill="1" applyBorder="1" applyAlignment="1" applyProtection="1">
      <alignment horizontal="left" vertical="center" wrapText="1"/>
      <protection locked="0"/>
    </xf>
    <xf numFmtId="170" fontId="0" fillId="4" borderId="86" xfId="0" applyNumberFormat="1" applyFill="1" applyBorder="1" applyAlignment="1" applyProtection="1">
      <alignment horizontal="center" vertical="center"/>
      <protection locked="0"/>
    </xf>
    <xf numFmtId="0" fontId="0" fillId="4" borderId="80" xfId="0" applyFill="1" applyBorder="1" applyAlignment="1" applyProtection="1">
      <alignment horizontal="left" vertical="center" wrapText="1"/>
      <protection locked="0"/>
    </xf>
    <xf numFmtId="10" fontId="6" fillId="30" borderId="84" xfId="0" applyNumberFormat="1" applyFont="1" applyFill="1" applyBorder="1" applyAlignment="1">
      <alignment horizontal="center" vertical="center"/>
    </xf>
    <xf numFmtId="10" fontId="6" fillId="30" borderId="2" xfId="0" applyNumberFormat="1" applyFont="1" applyFill="1" applyBorder="1" applyAlignment="1">
      <alignment horizontal="center" vertical="center"/>
    </xf>
    <xf numFmtId="10" fontId="6" fillId="30" borderId="3" xfId="0" applyNumberFormat="1" applyFont="1" applyFill="1" applyBorder="1" applyAlignment="1">
      <alignment horizontal="center" vertical="center"/>
    </xf>
    <xf numFmtId="10" fontId="15" fillId="30" borderId="6" xfId="0" applyNumberFormat="1" applyFont="1" applyFill="1" applyBorder="1" applyAlignment="1">
      <alignment horizontal="center" vertical="center"/>
    </xf>
    <xf numFmtId="10" fontId="6" fillId="30" borderId="0" xfId="0" applyNumberFormat="1" applyFont="1" applyFill="1" applyAlignment="1">
      <alignment horizontal="center" vertical="center"/>
    </xf>
    <xf numFmtId="10" fontId="6" fillId="30" borderId="1" xfId="0" applyNumberFormat="1" applyFont="1" applyFill="1" applyBorder="1" applyAlignment="1">
      <alignment horizontal="center" vertical="center"/>
    </xf>
    <xf numFmtId="10" fontId="6" fillId="30" borderId="5" xfId="0" applyNumberFormat="1" applyFont="1" applyFill="1" applyBorder="1" applyAlignment="1">
      <alignment horizontal="center" vertical="center"/>
    </xf>
    <xf numFmtId="10" fontId="6" fillId="30" borderId="9" xfId="0" applyNumberFormat="1" applyFont="1" applyFill="1" applyBorder="1" applyAlignment="1">
      <alignment horizontal="center" vertical="center"/>
    </xf>
    <xf numFmtId="170" fontId="15" fillId="4" borderId="86" xfId="0" applyNumberFormat="1" applyFont="1" applyFill="1" applyBorder="1" applyAlignment="1" applyProtection="1">
      <alignment horizontal="center" vertical="center"/>
      <protection locked="0"/>
    </xf>
    <xf numFmtId="170" fontId="15" fillId="4" borderId="59" xfId="0" applyNumberFormat="1" applyFont="1" applyFill="1" applyBorder="1" applyAlignment="1" applyProtection="1">
      <alignment horizontal="center" vertical="center"/>
      <protection locked="0"/>
    </xf>
    <xf numFmtId="170" fontId="15" fillId="4" borderId="1" xfId="0" applyNumberFormat="1" applyFont="1" applyFill="1" applyBorder="1" applyAlignment="1" applyProtection="1">
      <alignment horizontal="center" vertical="center"/>
      <protection locked="0"/>
    </xf>
    <xf numFmtId="0" fontId="25" fillId="9" borderId="2" xfId="0" applyFont="1" applyFill="1" applyBorder="1" applyAlignment="1">
      <alignment horizontal="center" vertical="center" wrapText="1"/>
    </xf>
    <xf numFmtId="10" fontId="6" fillId="30" borderId="85" xfId="0" applyNumberFormat="1" applyFont="1" applyFill="1" applyBorder="1" applyAlignment="1">
      <alignment horizontal="center" vertical="center"/>
    </xf>
    <xf numFmtId="170" fontId="25" fillId="9" borderId="2" xfId="0" applyNumberFormat="1" applyFont="1" applyFill="1" applyBorder="1" applyAlignment="1">
      <alignment horizontal="center" vertical="center"/>
    </xf>
    <xf numFmtId="170" fontId="2" fillId="9" borderId="0" xfId="0" applyNumberFormat="1" applyFont="1" applyFill="1" applyAlignment="1">
      <alignment horizontal="center" vertical="center"/>
    </xf>
    <xf numFmtId="10" fontId="6" fillId="5" borderId="0" xfId="0" applyNumberFormat="1" applyFont="1" applyFill="1" applyAlignment="1">
      <alignment horizontal="center" vertical="center"/>
    </xf>
    <xf numFmtId="10" fontId="32" fillId="7" borderId="4" xfId="0" applyNumberFormat="1" applyFont="1" applyFill="1" applyBorder="1" applyAlignment="1">
      <alignment horizontal="center" vertical="center"/>
    </xf>
    <xf numFmtId="0" fontId="0" fillId="17" borderId="2" xfId="0" applyFill="1" applyBorder="1"/>
    <xf numFmtId="0" fontId="0" fillId="17" borderId="3" xfId="0" applyFill="1" applyBorder="1"/>
    <xf numFmtId="170" fontId="0" fillId="4" borderId="87" xfId="0" applyNumberFormat="1" applyFill="1" applyBorder="1" applyAlignment="1" applyProtection="1">
      <alignment horizontal="center" vertical="center"/>
      <protection locked="0"/>
    </xf>
    <xf numFmtId="3" fontId="6" fillId="7" borderId="6" xfId="0" applyNumberFormat="1" applyFont="1" applyFill="1" applyBorder="1" applyAlignment="1">
      <alignment horizontal="center" vertical="center"/>
    </xf>
    <xf numFmtId="10" fontId="6" fillId="7" borderId="6" xfId="0" applyNumberFormat="1" applyFont="1" applyFill="1" applyBorder="1" applyAlignment="1">
      <alignment horizontal="center" vertical="center"/>
    </xf>
    <xf numFmtId="10" fontId="6" fillId="7" borderId="1" xfId="0" applyNumberFormat="1" applyFont="1" applyFill="1" applyBorder="1" applyAlignment="1">
      <alignment horizontal="center" vertical="center"/>
    </xf>
    <xf numFmtId="0" fontId="0" fillId="4" borderId="91" xfId="0" applyFill="1" applyBorder="1" applyAlignment="1" applyProtection="1">
      <alignment horizontal="left" vertical="center" wrapText="1"/>
      <protection locked="0"/>
    </xf>
    <xf numFmtId="170" fontId="0" fillId="4" borderId="91" xfId="0" applyNumberFormat="1" applyFill="1" applyBorder="1" applyAlignment="1" applyProtection="1">
      <alignment horizontal="center" vertical="center"/>
      <protection locked="0"/>
    </xf>
    <xf numFmtId="10" fontId="6" fillId="7" borderId="10" xfId="0" applyNumberFormat="1" applyFont="1" applyFill="1" applyBorder="1" applyAlignment="1">
      <alignment horizontal="center" vertical="center"/>
    </xf>
    <xf numFmtId="10" fontId="6" fillId="7" borderId="85" xfId="0" applyNumberFormat="1" applyFont="1" applyFill="1" applyBorder="1" applyAlignment="1">
      <alignment horizontal="center" vertical="center"/>
    </xf>
    <xf numFmtId="170" fontId="2" fillId="9" borderId="85" xfId="0" applyNumberFormat="1" applyFont="1" applyFill="1" applyBorder="1" applyAlignment="1">
      <alignment horizontal="center" vertical="center"/>
    </xf>
    <xf numFmtId="0" fontId="2" fillId="9" borderId="0" xfId="0" applyFont="1" applyFill="1" applyAlignment="1">
      <alignment horizontal="center" vertical="center"/>
    </xf>
    <xf numFmtId="0" fontId="27" fillId="4" borderId="2" xfId="0" applyFont="1" applyFill="1" applyBorder="1" applyAlignment="1" applyProtection="1">
      <alignment horizontal="left" vertical="center" wrapText="1"/>
      <protection locked="0"/>
    </xf>
    <xf numFmtId="3" fontId="25" fillId="6" borderId="4" xfId="0" applyNumberFormat="1" applyFont="1" applyFill="1" applyBorder="1" applyAlignment="1">
      <alignment vertical="center" wrapText="1"/>
    </xf>
    <xf numFmtId="3" fontId="25" fillId="6" borderId="5" xfId="0" applyNumberFormat="1" applyFont="1" applyFill="1" applyBorder="1" applyAlignment="1">
      <alignment vertical="center" wrapText="1"/>
    </xf>
    <xf numFmtId="3" fontId="25" fillId="4" borderId="1" xfId="0" applyNumberFormat="1" applyFont="1" applyFill="1" applyBorder="1" applyAlignment="1">
      <alignment vertical="center" wrapText="1"/>
    </xf>
    <xf numFmtId="0" fontId="15" fillId="17" borderId="2" xfId="0" applyFont="1" applyFill="1" applyBorder="1"/>
    <xf numFmtId="0" fontId="15" fillId="30" borderId="2" xfId="0" applyFont="1" applyFill="1" applyBorder="1"/>
    <xf numFmtId="167" fontId="0" fillId="4" borderId="2" xfId="0" applyNumberFormat="1" applyFill="1" applyBorder="1" applyAlignment="1" applyProtection="1">
      <alignment horizontal="center" vertical="center"/>
      <protection locked="0"/>
    </xf>
    <xf numFmtId="3" fontId="21" fillId="4" borderId="1" xfId="0" applyNumberFormat="1" applyFont="1" applyFill="1" applyBorder="1" applyAlignment="1">
      <alignment vertical="center" wrapText="1"/>
    </xf>
    <xf numFmtId="43" fontId="0" fillId="30" borderId="2" xfId="3" applyFont="1" applyFill="1" applyBorder="1"/>
    <xf numFmtId="0" fontId="26" fillId="4" borderId="2" xfId="0" applyFont="1" applyFill="1" applyBorder="1" applyAlignment="1" applyProtection="1">
      <alignment horizontal="left" vertical="center" wrapText="1"/>
      <protection locked="0"/>
    </xf>
    <xf numFmtId="170" fontId="26" fillId="4" borderId="2" xfId="0" applyNumberFormat="1" applyFont="1" applyFill="1" applyBorder="1" applyAlignment="1" applyProtection="1">
      <alignment horizontal="center" vertical="center"/>
      <protection locked="0"/>
    </xf>
    <xf numFmtId="170" fontId="26" fillId="4" borderId="1" xfId="0" applyNumberFormat="1" applyFont="1" applyFill="1" applyBorder="1" applyAlignment="1" applyProtection="1">
      <alignment horizontal="center" vertical="center"/>
      <protection locked="0"/>
    </xf>
    <xf numFmtId="170" fontId="26" fillId="4" borderId="8" xfId="0" applyNumberFormat="1" applyFont="1" applyFill="1" applyBorder="1" applyAlignment="1" applyProtection="1">
      <alignment horizontal="center" vertical="center"/>
      <protection locked="0"/>
    </xf>
    <xf numFmtId="10" fontId="38" fillId="30" borderId="2" xfId="0" applyNumberFormat="1" applyFont="1" applyFill="1" applyBorder="1" applyAlignment="1">
      <alignment horizontal="center" vertical="center"/>
    </xf>
    <xf numFmtId="3" fontId="21" fillId="6" borderId="2" xfId="0" applyNumberFormat="1" applyFont="1" applyFill="1" applyBorder="1" applyAlignment="1">
      <alignment vertical="center" wrapText="1"/>
    </xf>
    <xf numFmtId="0" fontId="5" fillId="31" borderId="65" xfId="0" applyFont="1" applyFill="1" applyBorder="1" applyAlignment="1">
      <alignment horizontal="left"/>
    </xf>
    <xf numFmtId="0" fontId="5" fillId="31" borderId="66" xfId="0" applyFont="1" applyFill="1" applyBorder="1"/>
    <xf numFmtId="0" fontId="5" fillId="4" borderId="65" xfId="0" applyFont="1" applyFill="1" applyBorder="1"/>
    <xf numFmtId="0" fontId="5" fillId="4" borderId="66" xfId="0" applyFont="1" applyFill="1" applyBorder="1"/>
    <xf numFmtId="0" fontId="5" fillId="31" borderId="65" xfId="0" applyFont="1" applyFill="1" applyBorder="1"/>
    <xf numFmtId="0" fontId="23" fillId="4" borderId="66" xfId="0" applyFont="1" applyFill="1" applyBorder="1"/>
    <xf numFmtId="0" fontId="46" fillId="31" borderId="65" xfId="0" applyFont="1" applyFill="1" applyBorder="1" applyAlignment="1">
      <alignment horizontal="left"/>
    </xf>
    <xf numFmtId="0" fontId="16" fillId="31" borderId="65" xfId="0" applyFont="1" applyFill="1" applyBorder="1" applyAlignment="1">
      <alignment horizontal="left"/>
    </xf>
    <xf numFmtId="0" fontId="23" fillId="31" borderId="65" xfId="0" applyFont="1" applyFill="1" applyBorder="1" applyAlignment="1">
      <alignment horizontal="left"/>
    </xf>
    <xf numFmtId="0" fontId="5" fillId="4" borderId="66" xfId="0" applyFont="1" applyFill="1" applyBorder="1" applyAlignment="1">
      <alignment horizontal="left"/>
    </xf>
    <xf numFmtId="0" fontId="23" fillId="31" borderId="66" xfId="0" applyFont="1" applyFill="1" applyBorder="1" applyAlignment="1">
      <alignment horizontal="left"/>
    </xf>
    <xf numFmtId="0" fontId="23" fillId="31" borderId="66" xfId="0" applyFont="1" applyFill="1" applyBorder="1"/>
    <xf numFmtId="0" fontId="5" fillId="4" borderId="65" xfId="0" applyFont="1" applyFill="1" applyBorder="1" applyAlignment="1">
      <alignment horizontal="left"/>
    </xf>
    <xf numFmtId="0" fontId="46" fillId="4" borderId="65" xfId="0" applyFont="1" applyFill="1" applyBorder="1"/>
    <xf numFmtId="0" fontId="46" fillId="4" borderId="66" xfId="0" applyFont="1" applyFill="1" applyBorder="1"/>
    <xf numFmtId="0" fontId="46" fillId="31" borderId="66" xfId="0" applyFont="1" applyFill="1" applyBorder="1"/>
    <xf numFmtId="0" fontId="23" fillId="4" borderId="65" xfId="0" applyFont="1" applyFill="1" applyBorder="1"/>
    <xf numFmtId="0" fontId="46" fillId="31" borderId="65" xfId="0" applyFont="1" applyFill="1" applyBorder="1"/>
    <xf numFmtId="0" fontId="46" fillId="4" borderId="65" xfId="0" applyFont="1" applyFill="1" applyBorder="1" applyAlignment="1">
      <alignment horizontal="left"/>
    </xf>
    <xf numFmtId="0" fontId="46" fillId="31" borderId="66" xfId="0" applyFont="1" applyFill="1" applyBorder="1" applyAlignment="1">
      <alignment horizontal="left"/>
    </xf>
    <xf numFmtId="0" fontId="46" fillId="4" borderId="66" xfId="0" applyFont="1" applyFill="1" applyBorder="1" applyAlignment="1">
      <alignment horizontal="left"/>
    </xf>
    <xf numFmtId="0" fontId="5" fillId="31" borderId="66" xfId="0" applyFont="1" applyFill="1" applyBorder="1" applyAlignment="1">
      <alignment horizontal="left"/>
    </xf>
    <xf numFmtId="0" fontId="5" fillId="4" borderId="66" xfId="0" applyFont="1" applyFill="1" applyBorder="1" applyAlignment="1">
      <alignment wrapText="1"/>
    </xf>
    <xf numFmtId="0" fontId="23" fillId="31" borderId="66" xfId="0" applyFont="1" applyFill="1" applyBorder="1" applyAlignment="1">
      <alignment wrapText="1"/>
    </xf>
    <xf numFmtId="0" fontId="46" fillId="31" borderId="66" xfId="0" applyFont="1" applyFill="1" applyBorder="1" applyAlignment="1">
      <alignment wrapText="1"/>
    </xf>
    <xf numFmtId="0" fontId="46" fillId="4" borderId="66" xfId="0" applyFont="1" applyFill="1" applyBorder="1" applyAlignment="1">
      <alignment wrapText="1"/>
    </xf>
    <xf numFmtId="0" fontId="30" fillId="32" borderId="65" xfId="0" applyFont="1" applyFill="1" applyBorder="1"/>
    <xf numFmtId="0" fontId="30" fillId="32" borderId="66" xfId="0" applyFont="1" applyFill="1" applyBorder="1"/>
    <xf numFmtId="0" fontId="30" fillId="33" borderId="65" xfId="0" applyFont="1" applyFill="1" applyBorder="1"/>
    <xf numFmtId="0" fontId="30" fillId="33" borderId="66" xfId="0" applyFont="1" applyFill="1" applyBorder="1"/>
    <xf numFmtId="0" fontId="30" fillId="32" borderId="65" xfId="0" applyFont="1" applyFill="1" applyBorder="1" applyAlignment="1">
      <alignment horizontal="left"/>
    </xf>
    <xf numFmtId="0" fontId="30" fillId="33" borderId="65" xfId="0" applyFont="1" applyFill="1" applyBorder="1" applyAlignment="1">
      <alignment horizontal="left"/>
    </xf>
    <xf numFmtId="0" fontId="30" fillId="32" borderId="66" xfId="0" applyFont="1" applyFill="1" applyBorder="1" applyAlignment="1">
      <alignment horizontal="left"/>
    </xf>
    <xf numFmtId="0" fontId="5" fillId="33" borderId="65" xfId="0" applyFont="1" applyFill="1" applyBorder="1" applyAlignment="1">
      <alignment horizontal="left"/>
    </xf>
    <xf numFmtId="0" fontId="5" fillId="33" borderId="66" xfId="0" applyFont="1" applyFill="1" applyBorder="1"/>
    <xf numFmtId="0" fontId="46" fillId="33" borderId="66" xfId="0" applyFont="1" applyFill="1" applyBorder="1" applyAlignment="1">
      <alignment horizontal="left"/>
    </xf>
    <xf numFmtId="0" fontId="30" fillId="33" borderId="66" xfId="0" applyFont="1" applyFill="1" applyBorder="1" applyAlignment="1">
      <alignment horizontal="left"/>
    </xf>
    <xf numFmtId="0" fontId="30" fillId="32" borderId="66" xfId="0" applyFont="1" applyFill="1" applyBorder="1" applyAlignment="1">
      <alignment wrapText="1"/>
    </xf>
    <xf numFmtId="0" fontId="16" fillId="31" borderId="66" xfId="0" applyFont="1" applyFill="1" applyBorder="1"/>
    <xf numFmtId="170" fontId="26" fillId="7" borderId="2" xfId="0" applyNumberFormat="1" applyFont="1" applyFill="1" applyBorder="1"/>
    <xf numFmtId="171" fontId="2" fillId="0" borderId="4" xfId="0" applyNumberFormat="1" applyFont="1" applyBorder="1"/>
    <xf numFmtId="3" fontId="31" fillId="9" borderId="12" xfId="0" applyNumberFormat="1" applyFont="1" applyFill="1" applyBorder="1" applyAlignment="1">
      <alignment horizontal="center" vertical="center" wrapText="1"/>
    </xf>
    <xf numFmtId="0" fontId="31" fillId="9" borderId="12" xfId="0" applyFont="1" applyFill="1" applyBorder="1" applyAlignment="1">
      <alignment horizontal="left" vertical="center" wrapText="1" indent="1"/>
    </xf>
    <xf numFmtId="170" fontId="14" fillId="7" borderId="6" xfId="0" applyNumberFormat="1" applyFont="1" applyFill="1" applyBorder="1" applyAlignment="1">
      <alignment horizontal="center" vertical="center"/>
    </xf>
    <xf numFmtId="10" fontId="14" fillId="30" borderId="58" xfId="0" applyNumberFormat="1" applyFont="1" applyFill="1" applyBorder="1" applyAlignment="1">
      <alignment horizontal="center" vertical="center"/>
    </xf>
    <xf numFmtId="3" fontId="31" fillId="25" borderId="0" xfId="0" applyNumberFormat="1" applyFont="1" applyFill="1" applyAlignment="1">
      <alignment horizontal="center" vertical="center" wrapText="1"/>
    </xf>
    <xf numFmtId="0" fontId="31" fillId="25" borderId="0" xfId="0" applyFont="1" applyFill="1" applyAlignment="1">
      <alignment horizontal="left" vertical="center" wrapText="1" indent="1"/>
    </xf>
    <xf numFmtId="170" fontId="14" fillId="25" borderId="0" xfId="0" applyNumberFormat="1" applyFont="1" applyFill="1" applyAlignment="1">
      <alignment horizontal="center" vertical="center"/>
    </xf>
    <xf numFmtId="10" fontId="14" fillId="25" borderId="0" xfId="0" applyNumberFormat="1" applyFont="1" applyFill="1" applyAlignment="1">
      <alignment horizontal="center" vertical="center"/>
    </xf>
    <xf numFmtId="3" fontId="31" fillId="4" borderId="0" xfId="0" applyNumberFormat="1" applyFont="1" applyFill="1" applyAlignment="1">
      <alignment horizontal="center" vertical="center" wrapText="1"/>
    </xf>
    <xf numFmtId="3" fontId="31" fillId="4" borderId="0" xfId="0" applyNumberFormat="1" applyFont="1" applyFill="1" applyAlignment="1">
      <alignment horizontal="left" vertical="center" wrapText="1"/>
    </xf>
    <xf numFmtId="170" fontId="14" fillId="4" borderId="0" xfId="0" applyNumberFormat="1" applyFont="1" applyFill="1" applyAlignment="1">
      <alignment horizontal="center" vertical="center"/>
    </xf>
    <xf numFmtId="10" fontId="14" fillId="4" borderId="0" xfId="0" applyNumberFormat="1" applyFont="1" applyFill="1" applyAlignment="1">
      <alignment horizontal="center" vertical="center"/>
    </xf>
    <xf numFmtId="170" fontId="35" fillId="4" borderId="0" xfId="0" applyNumberFormat="1" applyFont="1" applyFill="1" applyAlignment="1">
      <alignment horizontal="center" vertical="center"/>
    </xf>
    <xf numFmtId="0" fontId="14" fillId="4" borderId="0" xfId="0" applyFont="1" applyFill="1"/>
    <xf numFmtId="170" fontId="15" fillId="0" borderId="4" xfId="3" applyNumberFormat="1" applyFont="1" applyBorder="1" applyAlignment="1">
      <alignment horizontal="center" vertical="center"/>
    </xf>
    <xf numFmtId="3" fontId="25" fillId="9" borderId="4" xfId="0" applyNumberFormat="1" applyFont="1" applyFill="1" applyBorder="1" applyAlignment="1">
      <alignment horizontal="left" vertical="center" wrapText="1" indent="1"/>
    </xf>
    <xf numFmtId="0" fontId="14" fillId="0" borderId="3" xfId="0" applyFont="1" applyBorder="1" applyAlignment="1">
      <alignment vertical="center"/>
    </xf>
    <xf numFmtId="0" fontId="14" fillId="0" borderId="2" xfId="0" applyFont="1" applyBorder="1" applyAlignment="1">
      <alignment vertical="center"/>
    </xf>
    <xf numFmtId="0" fontId="14" fillId="0" borderId="84" xfId="0" applyFont="1" applyBorder="1" applyAlignment="1">
      <alignment vertical="center"/>
    </xf>
    <xf numFmtId="0" fontId="14" fillId="0" borderId="6" xfId="0" applyFont="1" applyBorder="1" applyAlignment="1">
      <alignment vertical="center"/>
    </xf>
    <xf numFmtId="0" fontId="0" fillId="0" borderId="6" xfId="0" applyBorder="1" applyAlignment="1">
      <alignment vertical="center"/>
    </xf>
    <xf numFmtId="0" fontId="0" fillId="0" borderId="84" xfId="0" applyBorder="1" applyAlignment="1">
      <alignment vertical="center"/>
    </xf>
    <xf numFmtId="0" fontId="0" fillId="0" borderId="2" xfId="0" applyBorder="1" applyAlignment="1">
      <alignment vertical="center"/>
    </xf>
    <xf numFmtId="170" fontId="0" fillId="0" borderId="4" xfId="3" applyNumberFormat="1" applyFont="1" applyBorder="1" applyAlignment="1">
      <alignment vertical="center"/>
    </xf>
    <xf numFmtId="0" fontId="0" fillId="0" borderId="3" xfId="0" applyBorder="1" applyAlignment="1">
      <alignment vertical="center"/>
    </xf>
    <xf numFmtId="0" fontId="0" fillId="0" borderId="2" xfId="0" applyBorder="1" applyAlignment="1">
      <alignment horizontal="left" vertical="center"/>
    </xf>
    <xf numFmtId="0" fontId="0" fillId="0" borderId="84" xfId="0" applyBorder="1" applyAlignment="1">
      <alignment horizontal="left" vertical="center"/>
    </xf>
    <xf numFmtId="170" fontId="36" fillId="30" borderId="2" xfId="0" applyNumberFormat="1" applyFont="1" applyFill="1" applyBorder="1" applyAlignment="1">
      <alignment horizontal="center" vertical="center"/>
    </xf>
    <xf numFmtId="170" fontId="36" fillId="30" borderId="3" xfId="0" applyNumberFormat="1" applyFont="1" applyFill="1" applyBorder="1" applyAlignment="1">
      <alignment horizontal="center" vertical="center"/>
    </xf>
    <xf numFmtId="43" fontId="0" fillId="30" borderId="2" xfId="0" applyNumberFormat="1" applyFill="1" applyBorder="1"/>
    <xf numFmtId="170" fontId="36" fillId="4" borderId="2" xfId="0" applyNumberFormat="1" applyFont="1" applyFill="1" applyBorder="1" applyAlignment="1">
      <alignment horizontal="center" vertical="center"/>
    </xf>
    <xf numFmtId="10" fontId="15" fillId="4" borderId="2" xfId="0" applyNumberFormat="1" applyFont="1" applyFill="1" applyBorder="1" applyAlignment="1">
      <alignment horizontal="center" vertical="center"/>
    </xf>
    <xf numFmtId="0" fontId="0" fillId="4" borderId="2" xfId="0" applyFill="1" applyBorder="1"/>
    <xf numFmtId="0" fontId="0" fillId="4" borderId="3" xfId="0" applyFill="1" applyBorder="1"/>
    <xf numFmtId="170" fontId="15" fillId="30" borderId="2" xfId="3" applyNumberFormat="1" applyFont="1" applyFill="1" applyBorder="1" applyAlignment="1">
      <alignment horizontal="center" vertical="center"/>
    </xf>
    <xf numFmtId="164" fontId="5" fillId="4" borderId="0" xfId="3" applyNumberFormat="1" applyFont="1" applyFill="1" applyBorder="1"/>
    <xf numFmtId="164" fontId="16" fillId="22" borderId="0" xfId="3" applyNumberFormat="1" applyFont="1" applyFill="1" applyBorder="1"/>
    <xf numFmtId="164" fontId="16" fillId="14" borderId="0" xfId="3" applyNumberFormat="1" applyFont="1" applyFill="1" applyBorder="1"/>
    <xf numFmtId="164" fontId="30" fillId="33" borderId="0" xfId="3" applyNumberFormat="1" applyFont="1" applyFill="1" applyBorder="1"/>
    <xf numFmtId="164" fontId="46" fillId="4" borderId="0" xfId="3" applyNumberFormat="1" applyFont="1" applyFill="1" applyBorder="1"/>
    <xf numFmtId="164" fontId="28" fillId="33" borderId="0" xfId="3" applyNumberFormat="1" applyFont="1" applyFill="1" applyBorder="1"/>
    <xf numFmtId="164" fontId="5" fillId="14" borderId="0" xfId="3" applyNumberFormat="1" applyFont="1" applyFill="1" applyBorder="1"/>
    <xf numFmtId="164" fontId="46" fillId="14" borderId="0" xfId="3" applyNumberFormat="1" applyFont="1" applyFill="1" applyBorder="1"/>
    <xf numFmtId="164" fontId="5" fillId="33" borderId="0" xfId="3" applyNumberFormat="1" applyFont="1" applyFill="1" applyBorder="1"/>
    <xf numFmtId="164" fontId="16" fillId="4" borderId="0" xfId="3" applyNumberFormat="1" applyFont="1" applyFill="1" applyBorder="1"/>
    <xf numFmtId="164" fontId="16" fillId="33" borderId="0" xfId="3" applyNumberFormat="1" applyFont="1" applyFill="1" applyBorder="1"/>
    <xf numFmtId="164" fontId="26" fillId="33" borderId="0" xfId="3" applyNumberFormat="1" applyFont="1" applyFill="1"/>
    <xf numFmtId="164" fontId="16" fillId="22" borderId="92" xfId="3" applyNumberFormat="1" applyFont="1" applyFill="1" applyBorder="1"/>
    <xf numFmtId="164" fontId="28" fillId="33" borderId="67" xfId="3" applyNumberFormat="1" applyFont="1" applyFill="1" applyBorder="1"/>
    <xf numFmtId="164" fontId="5" fillId="4" borderId="67" xfId="3" applyNumberFormat="1" applyFont="1" applyFill="1" applyBorder="1"/>
    <xf numFmtId="164" fontId="30" fillId="33" borderId="67" xfId="3" applyNumberFormat="1" applyFont="1" applyFill="1" applyBorder="1"/>
    <xf numFmtId="164" fontId="16" fillId="14" borderId="67" xfId="3" applyNumberFormat="1" applyFont="1" applyFill="1" applyBorder="1"/>
    <xf numFmtId="164" fontId="46" fillId="4" borderId="67" xfId="3" applyNumberFormat="1" applyFont="1" applyFill="1" applyBorder="1"/>
    <xf numFmtId="164" fontId="46" fillId="25" borderId="67" xfId="3" applyNumberFormat="1" applyFont="1" applyFill="1" applyBorder="1"/>
    <xf numFmtId="164" fontId="23" fillId="4" borderId="67" xfId="3" applyNumberFormat="1" applyFont="1" applyFill="1" applyBorder="1"/>
    <xf numFmtId="164" fontId="16" fillId="22" borderId="67" xfId="3" applyNumberFormat="1" applyFont="1" applyFill="1" applyBorder="1"/>
    <xf numFmtId="164" fontId="5" fillId="14" borderId="67" xfId="3" applyNumberFormat="1" applyFont="1" applyFill="1" applyBorder="1"/>
    <xf numFmtId="164" fontId="5" fillId="33" borderId="67" xfId="3" applyNumberFormat="1" applyFont="1" applyFill="1" applyBorder="1"/>
    <xf numFmtId="164" fontId="28" fillId="4" borderId="67" xfId="3" applyNumberFormat="1" applyFont="1" applyFill="1" applyBorder="1"/>
    <xf numFmtId="164" fontId="23" fillId="14" borderId="67" xfId="3" applyNumberFormat="1" applyFont="1" applyFill="1" applyBorder="1"/>
    <xf numFmtId="164" fontId="5" fillId="12" borderId="67" xfId="3" applyNumberFormat="1" applyFont="1" applyFill="1" applyBorder="1"/>
    <xf numFmtId="164" fontId="5" fillId="29" borderId="67" xfId="3" applyNumberFormat="1" applyFont="1" applyFill="1" applyBorder="1"/>
    <xf numFmtId="164" fontId="16" fillId="4" borderId="67" xfId="3" applyNumberFormat="1" applyFont="1" applyFill="1" applyBorder="1"/>
    <xf numFmtId="164" fontId="16" fillId="33" borderId="67" xfId="3" applyNumberFormat="1" applyFont="1" applyFill="1" applyBorder="1"/>
    <xf numFmtId="164" fontId="26" fillId="33" borderId="67" xfId="3" applyNumberFormat="1" applyFont="1" applyFill="1" applyBorder="1"/>
    <xf numFmtId="164" fontId="5" fillId="31" borderId="0" xfId="0" applyNumberFormat="1" applyFont="1" applyFill="1"/>
    <xf numFmtId="164" fontId="5" fillId="4" borderId="0" xfId="0" applyNumberFormat="1" applyFont="1" applyFill="1"/>
    <xf numFmtId="164" fontId="23" fillId="4" borderId="0" xfId="0" applyNumberFormat="1" applyFont="1" applyFill="1"/>
    <xf numFmtId="164" fontId="23" fillId="31" borderId="0" xfId="0" applyNumberFormat="1" applyFont="1" applyFill="1"/>
    <xf numFmtId="164" fontId="46" fillId="4" borderId="0" xfId="0" applyNumberFormat="1" applyFont="1" applyFill="1"/>
    <xf numFmtId="164" fontId="46" fillId="31" borderId="0" xfId="0" applyNumberFormat="1" applyFont="1" applyFill="1"/>
    <xf numFmtId="164" fontId="46" fillId="31" borderId="0" xfId="0" applyNumberFormat="1" applyFont="1" applyFill="1" applyAlignment="1">
      <alignment horizontal="left"/>
    </xf>
    <xf numFmtId="164" fontId="46" fillId="4" borderId="0" xfId="0" applyNumberFormat="1" applyFont="1" applyFill="1" applyAlignment="1">
      <alignment horizontal="left"/>
    </xf>
    <xf numFmtId="164" fontId="5" fillId="4" borderId="0" xfId="0" applyNumberFormat="1" applyFont="1" applyFill="1" applyAlignment="1">
      <alignment horizontal="left"/>
    </xf>
    <xf numFmtId="164" fontId="23" fillId="31" borderId="0" xfId="0" applyNumberFormat="1" applyFont="1" applyFill="1" applyAlignment="1">
      <alignment horizontal="left"/>
    </xf>
    <xf numFmtId="164" fontId="5" fillId="31" borderId="0" xfId="0" applyNumberFormat="1" applyFont="1" applyFill="1" applyAlignment="1">
      <alignment horizontal="left"/>
    </xf>
    <xf numFmtId="164" fontId="16" fillId="31" borderId="0" xfId="0" applyNumberFormat="1" applyFont="1" applyFill="1"/>
    <xf numFmtId="164" fontId="46" fillId="12" borderId="0" xfId="0" applyNumberFormat="1" applyFont="1" applyFill="1"/>
    <xf numFmtId="164" fontId="21" fillId="27" borderId="0" xfId="0" applyNumberFormat="1" applyFont="1" applyFill="1"/>
    <xf numFmtId="164" fontId="30" fillId="12" borderId="0" xfId="0" applyNumberFormat="1" applyFont="1" applyFill="1"/>
    <xf numFmtId="164" fontId="23" fillId="31" borderId="0" xfId="0" applyNumberFormat="1" applyFont="1" applyFill="1" applyAlignment="1">
      <alignment wrapText="1"/>
    </xf>
    <xf numFmtId="164" fontId="46" fillId="31" borderId="0" xfId="0" applyNumberFormat="1" applyFont="1" applyFill="1" applyAlignment="1">
      <alignment wrapText="1"/>
    </xf>
    <xf numFmtId="164" fontId="5" fillId="4" borderId="0" xfId="0" applyNumberFormat="1" applyFont="1" applyFill="1" applyAlignment="1">
      <alignment wrapText="1"/>
    </xf>
    <xf numFmtId="164" fontId="46" fillId="4" borderId="0" xfId="0" applyNumberFormat="1" applyFont="1" applyFill="1" applyAlignment="1">
      <alignment wrapText="1"/>
    </xf>
    <xf numFmtId="164" fontId="23" fillId="14" borderId="0" xfId="3" applyNumberFormat="1" applyFont="1" applyFill="1" applyBorder="1"/>
    <xf numFmtId="164" fontId="5" fillId="29" borderId="0" xfId="3" applyNumberFormat="1" applyFont="1" applyFill="1" applyBorder="1"/>
    <xf numFmtId="164" fontId="5" fillId="31" borderId="67" xfId="0" applyNumberFormat="1" applyFont="1" applyFill="1" applyBorder="1"/>
    <xf numFmtId="164" fontId="5" fillId="4" borderId="67" xfId="0" applyNumberFormat="1" applyFont="1" applyFill="1" applyBorder="1"/>
    <xf numFmtId="164" fontId="23" fillId="4" borderId="67" xfId="0" applyNumberFormat="1" applyFont="1" applyFill="1" applyBorder="1"/>
    <xf numFmtId="164" fontId="23" fillId="31" borderId="67" xfId="0" applyNumberFormat="1" applyFont="1" applyFill="1" applyBorder="1"/>
    <xf numFmtId="164" fontId="46" fillId="4" borderId="67" xfId="0" applyNumberFormat="1" applyFont="1" applyFill="1" applyBorder="1"/>
    <xf numFmtId="164" fontId="46" fillId="31" borderId="67" xfId="0" applyNumberFormat="1" applyFont="1" applyFill="1" applyBorder="1"/>
    <xf numFmtId="164" fontId="46" fillId="31" borderId="67" xfId="0" applyNumberFormat="1" applyFont="1" applyFill="1" applyBorder="1" applyAlignment="1">
      <alignment horizontal="left"/>
    </xf>
    <xf numFmtId="164" fontId="46" fillId="4" borderId="67" xfId="0" applyNumberFormat="1" applyFont="1" applyFill="1" applyBorder="1" applyAlignment="1">
      <alignment horizontal="left"/>
    </xf>
    <xf numFmtId="164" fontId="5" fillId="4" borderId="67" xfId="0" applyNumberFormat="1" applyFont="1" applyFill="1" applyBorder="1" applyAlignment="1">
      <alignment horizontal="left"/>
    </xf>
    <xf numFmtId="164" fontId="23" fillId="31" borderId="67" xfId="0" applyNumberFormat="1" applyFont="1" applyFill="1" applyBorder="1" applyAlignment="1">
      <alignment horizontal="left"/>
    </xf>
    <xf numFmtId="164" fontId="5" fillId="31" borderId="67" xfId="0" applyNumberFormat="1" applyFont="1" applyFill="1" applyBorder="1" applyAlignment="1">
      <alignment horizontal="left"/>
    </xf>
    <xf numFmtId="164" fontId="16" fillId="31" borderId="67" xfId="0" applyNumberFormat="1" applyFont="1" applyFill="1" applyBorder="1"/>
    <xf numFmtId="164" fontId="46" fillId="12" borderId="67" xfId="0" applyNumberFormat="1" applyFont="1" applyFill="1" applyBorder="1"/>
    <xf numFmtId="164" fontId="21" fillId="27" borderId="67" xfId="0" applyNumberFormat="1" applyFont="1" applyFill="1" applyBorder="1"/>
    <xf numFmtId="164" fontId="30" fillId="12" borderId="67" xfId="0" applyNumberFormat="1" applyFont="1" applyFill="1" applyBorder="1"/>
    <xf numFmtId="164" fontId="23" fillId="31" borderId="67" xfId="0" applyNumberFormat="1" applyFont="1" applyFill="1" applyBorder="1" applyAlignment="1">
      <alignment wrapText="1"/>
    </xf>
    <xf numFmtId="164" fontId="46" fillId="31" borderId="67" xfId="0" applyNumberFormat="1" applyFont="1" applyFill="1" applyBorder="1" applyAlignment="1">
      <alignment wrapText="1"/>
    </xf>
    <xf numFmtId="164" fontId="5" fillId="4" borderId="67" xfId="0" applyNumberFormat="1" applyFont="1" applyFill="1" applyBorder="1" applyAlignment="1">
      <alignment wrapText="1"/>
    </xf>
    <xf numFmtId="164" fontId="46" fillId="4" borderId="67" xfId="0" applyNumberFormat="1" applyFont="1" applyFill="1" applyBorder="1" applyAlignment="1">
      <alignment wrapText="1"/>
    </xf>
    <xf numFmtId="0" fontId="16" fillId="14" borderId="94" xfId="0" applyFont="1" applyFill="1" applyBorder="1" applyAlignment="1">
      <alignment horizontal="left"/>
    </xf>
    <xf numFmtId="0" fontId="16" fillId="14" borderId="95" xfId="0" applyFont="1" applyFill="1" applyBorder="1"/>
    <xf numFmtId="164" fontId="16" fillId="14" borderId="96" xfId="3" applyNumberFormat="1" applyFont="1" applyFill="1" applyBorder="1"/>
    <xf numFmtId="43" fontId="5" fillId="13" borderId="97" xfId="3" applyFont="1" applyFill="1" applyBorder="1" applyAlignment="1">
      <alignment horizontal="center"/>
    </xf>
    <xf numFmtId="164" fontId="21" fillId="27" borderId="67" xfId="3" applyNumberFormat="1" applyFont="1" applyFill="1" applyBorder="1"/>
    <xf numFmtId="164" fontId="16" fillId="14" borderId="93" xfId="3" applyNumberFormat="1" applyFont="1" applyFill="1" applyBorder="1"/>
    <xf numFmtId="164" fontId="16" fillId="12" borderId="0" xfId="3" applyNumberFormat="1" applyFont="1" applyFill="1" applyBorder="1"/>
    <xf numFmtId="3" fontId="38" fillId="4" borderId="2" xfId="0" applyNumberFormat="1" applyFont="1" applyFill="1" applyBorder="1" applyAlignment="1">
      <alignment horizontal="center" vertical="center"/>
    </xf>
    <xf numFmtId="10" fontId="38" fillId="4" borderId="2" xfId="0" applyNumberFormat="1" applyFont="1" applyFill="1" applyBorder="1" applyAlignment="1">
      <alignment horizontal="center" vertical="center"/>
    </xf>
    <xf numFmtId="170" fontId="29" fillId="30" borderId="2" xfId="0" applyNumberFormat="1" applyFont="1" applyFill="1" applyBorder="1" applyAlignment="1">
      <alignment vertical="center"/>
    </xf>
    <xf numFmtId="0" fontId="29" fillId="7" borderId="2" xfId="0" applyFont="1" applyFill="1" applyBorder="1" applyAlignment="1">
      <alignment vertical="center"/>
    </xf>
    <xf numFmtId="0" fontId="25" fillId="5" borderId="4" xfId="0" applyFont="1" applyFill="1" applyBorder="1" applyAlignment="1">
      <alignment horizontal="center" vertical="center"/>
    </xf>
    <xf numFmtId="170" fontId="15" fillId="7" borderId="4" xfId="0" applyNumberFormat="1" applyFont="1" applyFill="1" applyBorder="1" applyAlignment="1">
      <alignment horizontal="center" vertical="center"/>
    </xf>
    <xf numFmtId="0" fontId="16" fillId="0" borderId="0" xfId="0" applyFont="1" applyAlignment="1">
      <alignment horizontal="left" vertical="center" indent="1"/>
    </xf>
    <xf numFmtId="164" fontId="36" fillId="7" borderId="2" xfId="0" applyNumberFormat="1" applyFont="1" applyFill="1" applyBorder="1" applyAlignment="1">
      <alignment horizontal="center" vertical="center"/>
    </xf>
    <xf numFmtId="0" fontId="36" fillId="7" borderId="0" xfId="0" applyFont="1" applyFill="1" applyAlignment="1">
      <alignment vertical="center" wrapText="1"/>
    </xf>
    <xf numFmtId="0" fontId="5" fillId="7" borderId="0" xfId="0" applyFont="1" applyFill="1"/>
    <xf numFmtId="0" fontId="9" fillId="7" borderId="98" xfId="0" applyFont="1" applyFill="1" applyBorder="1"/>
    <xf numFmtId="0" fontId="7" fillId="7" borderId="99" xfId="0" applyFont="1" applyFill="1" applyBorder="1" applyAlignment="1">
      <alignment vertical="center"/>
    </xf>
    <xf numFmtId="0" fontId="9" fillId="7" borderId="98" xfId="1" applyFont="1" applyFill="1" applyBorder="1" applyAlignment="1" applyProtection="1">
      <alignment vertical="center"/>
    </xf>
    <xf numFmtId="0" fontId="0" fillId="7" borderId="99" xfId="0" applyFill="1" applyBorder="1"/>
    <xf numFmtId="0" fontId="9" fillId="7" borderId="100" xfId="0" applyFont="1" applyFill="1" applyBorder="1"/>
    <xf numFmtId="0" fontId="0" fillId="7" borderId="96" xfId="0" applyFill="1" applyBorder="1"/>
    <xf numFmtId="0" fontId="17" fillId="7" borderId="96" xfId="0" applyFont="1" applyFill="1" applyBorder="1" applyAlignment="1">
      <alignment vertical="center" wrapText="1"/>
    </xf>
    <xf numFmtId="0" fontId="0" fillId="7" borderId="101" xfId="0" applyFill="1" applyBorder="1"/>
    <xf numFmtId="0" fontId="9" fillId="6" borderId="102" xfId="1" applyFont="1" applyFill="1" applyBorder="1" applyAlignment="1" applyProtection="1">
      <alignment horizontal="center" vertical="center"/>
    </xf>
    <xf numFmtId="0" fontId="9" fillId="6" borderId="103" xfId="0" applyFont="1" applyFill="1" applyBorder="1" applyAlignment="1">
      <alignment horizontal="left" vertical="center" wrapText="1"/>
    </xf>
    <xf numFmtId="0" fontId="9" fillId="6" borderId="104" xfId="0" applyFont="1" applyFill="1" applyBorder="1" applyAlignment="1">
      <alignment horizontal="left" vertical="center" indent="1"/>
    </xf>
    <xf numFmtId="0" fontId="39" fillId="34" borderId="0" xfId="0" applyFont="1" applyFill="1" applyAlignment="1">
      <alignment horizontal="center" vertical="center"/>
    </xf>
    <xf numFmtId="0" fontId="40" fillId="34" borderId="0" xfId="0" applyFont="1" applyFill="1" applyAlignment="1">
      <alignment horizontal="center" vertical="center" wrapText="1"/>
    </xf>
    <xf numFmtId="0" fontId="7" fillId="34" borderId="0" xfId="0" applyFont="1" applyFill="1" applyAlignment="1">
      <alignment vertical="center"/>
    </xf>
    <xf numFmtId="0" fontId="0" fillId="0" borderId="14" xfId="0" applyBorder="1"/>
    <xf numFmtId="0" fontId="0" fillId="0" borderId="36" xfId="0" applyBorder="1"/>
    <xf numFmtId="0" fontId="21" fillId="10" borderId="53" xfId="0" applyFont="1" applyFill="1" applyBorder="1" applyAlignment="1">
      <alignment horizontal="center" vertical="center" wrapText="1"/>
    </xf>
    <xf numFmtId="0" fontId="29" fillId="19" borderId="13" xfId="0" applyFont="1" applyFill="1" applyBorder="1" applyAlignment="1">
      <alignment horizontal="center" vertical="center"/>
    </xf>
    <xf numFmtId="0" fontId="29" fillId="19" borderId="13" xfId="0" applyFont="1" applyFill="1" applyBorder="1" applyAlignment="1">
      <alignment horizontal="center"/>
    </xf>
    <xf numFmtId="0" fontId="29" fillId="19" borderId="16" xfId="0" applyFont="1" applyFill="1" applyBorder="1" applyAlignment="1">
      <alignment horizontal="center" vertical="center"/>
    </xf>
    <xf numFmtId="1" fontId="16" fillId="35" borderId="13" xfId="0" quotePrefix="1" applyNumberFormat="1" applyFont="1" applyFill="1" applyBorder="1" applyAlignment="1">
      <alignment horizontal="center" vertical="center"/>
    </xf>
    <xf numFmtId="0" fontId="26" fillId="35" borderId="15" xfId="0" applyFont="1" applyFill="1" applyBorder="1" applyAlignment="1">
      <alignment horizontal="center"/>
    </xf>
    <xf numFmtId="0" fontId="26" fillId="35" borderId="13" xfId="0" applyFont="1" applyFill="1" applyBorder="1"/>
    <xf numFmtId="0" fontId="26" fillId="35" borderId="16" xfId="0" applyFont="1" applyFill="1" applyBorder="1"/>
    <xf numFmtId="0" fontId="0" fillId="0" borderId="14" xfId="0" quotePrefix="1" applyBorder="1" applyAlignment="1">
      <alignment horizontal="center" vertical="center"/>
    </xf>
    <xf numFmtId="0" fontId="0" fillId="0" borderId="32" xfId="0" applyBorder="1"/>
    <xf numFmtId="0" fontId="0" fillId="0" borderId="30" xfId="0" applyBorder="1"/>
    <xf numFmtId="0" fontId="0" fillId="0" borderId="14" xfId="0" quotePrefix="1" applyBorder="1" applyAlignment="1">
      <alignment horizontal="center"/>
    </xf>
    <xf numFmtId="0" fontId="0" fillId="0" borderId="14" xfId="0" applyBorder="1" applyAlignment="1">
      <alignment horizontal="center"/>
    </xf>
    <xf numFmtId="0" fontId="16" fillId="35" borderId="13" xfId="0" quotePrefix="1" applyFont="1" applyFill="1" applyBorder="1" applyAlignment="1">
      <alignment horizontal="center"/>
    </xf>
    <xf numFmtId="0" fontId="26" fillId="0" borderId="14" xfId="0" quotePrefix="1" applyFont="1" applyBorder="1" applyAlignment="1">
      <alignment horizontal="center"/>
    </xf>
    <xf numFmtId="0" fontId="26" fillId="0" borderId="29" xfId="0" quotePrefix="1" applyFont="1" applyBorder="1" applyAlignment="1">
      <alignment horizontal="center"/>
    </xf>
    <xf numFmtId="0" fontId="26" fillId="0" borderId="28" xfId="0" applyFont="1" applyBorder="1" applyAlignment="1">
      <alignment horizontal="left"/>
    </xf>
    <xf numFmtId="0" fontId="0" fillId="0" borderId="27" xfId="0" applyBorder="1"/>
    <xf numFmtId="0" fontId="0" fillId="0" borderId="13" xfId="0" applyBorder="1"/>
    <xf numFmtId="0" fontId="26" fillId="36" borderId="32" xfId="0" applyFont="1" applyFill="1" applyBorder="1" applyAlignment="1">
      <alignment horizontal="center" vertical="center"/>
    </xf>
    <xf numFmtId="0" fontId="26" fillId="36" borderId="32" xfId="0" applyFont="1" applyFill="1" applyBorder="1" applyAlignment="1">
      <alignment horizontal="center" vertical="center" wrapText="1"/>
    </xf>
    <xf numFmtId="0" fontId="26" fillId="36" borderId="35" xfId="0" applyFont="1" applyFill="1" applyBorder="1" applyAlignment="1">
      <alignment horizontal="center" vertical="center" wrapText="1"/>
    </xf>
    <xf numFmtId="0" fontId="26" fillId="36" borderId="27" xfId="0" applyFont="1" applyFill="1" applyBorder="1" applyAlignment="1">
      <alignment horizontal="center" vertical="top"/>
    </xf>
    <xf numFmtId="0" fontId="26" fillId="36" borderId="29" xfId="0" applyFont="1" applyFill="1" applyBorder="1" applyAlignment="1">
      <alignment horizontal="center" vertical="top"/>
    </xf>
    <xf numFmtId="0" fontId="26" fillId="36" borderId="36" xfId="0" applyFont="1" applyFill="1" applyBorder="1" applyAlignment="1">
      <alignment horizontal="center" vertical="top"/>
    </xf>
    <xf numFmtId="3" fontId="5" fillId="0" borderId="0" xfId="0" applyNumberFormat="1" applyFont="1"/>
    <xf numFmtId="164" fontId="5" fillId="0" borderId="0" xfId="3" applyNumberFormat="1" applyFont="1" applyBorder="1"/>
    <xf numFmtId="164" fontId="5" fillId="0" borderId="0" xfId="0" applyNumberFormat="1" applyFont="1"/>
    <xf numFmtId="164" fontId="16" fillId="0" borderId="0" xfId="3" applyNumberFormat="1" applyFont="1" applyBorder="1"/>
    <xf numFmtId="164" fontId="16" fillId="0" borderId="0" xfId="0" applyNumberFormat="1" applyFont="1" applyAlignment="1">
      <alignment horizontal="center"/>
    </xf>
    <xf numFmtId="0" fontId="9" fillId="6" borderId="100" xfId="1" applyFont="1" applyFill="1" applyBorder="1" applyAlignment="1" applyProtection="1">
      <alignment horizontal="center" vertical="center"/>
    </xf>
    <xf numFmtId="0" fontId="21" fillId="6" borderId="100" xfId="1" applyFont="1" applyFill="1" applyBorder="1" applyAlignment="1" applyProtection="1">
      <alignment horizontal="center" vertical="center"/>
    </xf>
    <xf numFmtId="0" fontId="14" fillId="0" borderId="13" xfId="0" applyFont="1" applyBorder="1"/>
    <xf numFmtId="0" fontId="14" fillId="0" borderId="13" xfId="0" applyFont="1" applyBorder="1" applyAlignment="1">
      <alignment horizontal="center"/>
    </xf>
    <xf numFmtId="0" fontId="14" fillId="0" borderId="13" xfId="0" applyFont="1" applyBorder="1" applyAlignment="1">
      <alignment horizontal="center" vertical="center"/>
    </xf>
    <xf numFmtId="2" fontId="0" fillId="0" borderId="0" xfId="0" applyNumberFormat="1"/>
    <xf numFmtId="0" fontId="31" fillId="20" borderId="0" xfId="0" applyFont="1" applyFill="1"/>
    <xf numFmtId="0" fontId="2" fillId="20" borderId="0" xfId="0" applyFont="1" applyFill="1"/>
    <xf numFmtId="0" fontId="21" fillId="37" borderId="13" xfId="0" applyFont="1" applyFill="1" applyBorder="1" applyAlignment="1">
      <alignment horizontal="center" vertical="center" wrapText="1"/>
    </xf>
    <xf numFmtId="0" fontId="14" fillId="30" borderId="13" xfId="0" applyFont="1" applyFill="1" applyBorder="1" applyAlignment="1">
      <alignment horizontal="center"/>
    </xf>
    <xf numFmtId="0" fontId="0" fillId="30" borderId="0" xfId="0" applyFill="1"/>
    <xf numFmtId="0" fontId="7" fillId="36" borderId="107" xfId="0" applyFont="1" applyFill="1" applyBorder="1" applyAlignment="1">
      <alignment vertical="center"/>
    </xf>
    <xf numFmtId="0" fontId="7" fillId="36" borderId="108" xfId="0" applyFont="1" applyFill="1" applyBorder="1" applyAlignment="1">
      <alignment vertical="center"/>
    </xf>
    <xf numFmtId="0" fontId="45" fillId="36" borderId="109" xfId="0" applyFont="1" applyFill="1" applyBorder="1" applyAlignment="1">
      <alignment vertical="center"/>
    </xf>
    <xf numFmtId="0" fontId="45" fillId="36" borderId="110" xfId="0" applyFont="1" applyFill="1" applyBorder="1" applyAlignment="1">
      <alignment vertical="center"/>
    </xf>
    <xf numFmtId="169" fontId="5" fillId="0" borderId="0" xfId="0" applyNumberFormat="1" applyFont="1"/>
    <xf numFmtId="0" fontId="5" fillId="0" borderId="96" xfId="0" applyFont="1" applyBorder="1"/>
    <xf numFmtId="0" fontId="30" fillId="0" borderId="0" xfId="0" applyFont="1"/>
    <xf numFmtId="164" fontId="16" fillId="12" borderId="14" xfId="3" applyNumberFormat="1" applyFont="1" applyFill="1" applyBorder="1"/>
    <xf numFmtId="164" fontId="5" fillId="20" borderId="67" xfId="3" applyNumberFormat="1" applyFont="1" applyFill="1" applyBorder="1"/>
    <xf numFmtId="0" fontId="16" fillId="31" borderId="65" xfId="0" applyFont="1" applyFill="1" applyBorder="1"/>
    <xf numFmtId="0" fontId="30" fillId="38" borderId="65" xfId="0" applyFont="1" applyFill="1" applyBorder="1"/>
    <xf numFmtId="0" fontId="30" fillId="38" borderId="66" xfId="0" applyFont="1" applyFill="1" applyBorder="1"/>
    <xf numFmtId="164" fontId="30" fillId="38" borderId="0" xfId="0" applyNumberFormat="1" applyFont="1" applyFill="1"/>
    <xf numFmtId="164" fontId="30" fillId="15" borderId="0" xfId="3" applyNumberFormat="1" applyFont="1" applyFill="1" applyBorder="1"/>
    <xf numFmtId="164" fontId="28" fillId="15" borderId="67" xfId="3" applyNumberFormat="1" applyFont="1" applyFill="1" applyBorder="1"/>
    <xf numFmtId="0" fontId="16" fillId="4" borderId="105" xfId="0" applyFont="1" applyFill="1" applyBorder="1" applyAlignment="1">
      <alignment horizontal="left" vertical="center" wrapText="1"/>
    </xf>
    <xf numFmtId="0" fontId="16" fillId="4" borderId="96" xfId="0" applyFont="1" applyFill="1" applyBorder="1" applyAlignment="1">
      <alignment horizontal="left" vertical="center" wrapText="1"/>
    </xf>
    <xf numFmtId="0" fontId="16" fillId="4" borderId="101" xfId="0" applyFont="1" applyFill="1" applyBorder="1" applyAlignment="1">
      <alignment horizontal="left" vertical="center" wrapText="1"/>
    </xf>
    <xf numFmtId="0" fontId="40" fillId="12" borderId="34" xfId="0" applyFont="1" applyFill="1" applyBorder="1" applyAlignment="1">
      <alignment horizontal="center" vertical="center" wrapText="1"/>
    </xf>
    <xf numFmtId="0" fontId="40" fillId="12" borderId="0" xfId="0" applyFont="1" applyFill="1" applyAlignment="1">
      <alignment horizontal="center" vertical="center" wrapText="1"/>
    </xf>
    <xf numFmtId="0" fontId="46" fillId="4" borderId="103" xfId="0" applyFont="1" applyFill="1" applyBorder="1" applyAlignment="1">
      <alignment horizontal="left" vertical="center" wrapText="1"/>
    </xf>
    <xf numFmtId="0" fontId="46" fillId="4" borderId="62" xfId="0" applyFont="1" applyFill="1" applyBorder="1" applyAlignment="1">
      <alignment horizontal="left" vertical="center" wrapText="1"/>
    </xf>
    <xf numFmtId="0" fontId="0" fillId="7" borderId="0" xfId="0" applyFill="1" applyAlignment="1">
      <alignment horizontal="center"/>
    </xf>
    <xf numFmtId="0" fontId="16" fillId="4" borderId="106" xfId="0" applyFont="1" applyFill="1" applyBorder="1" applyAlignment="1">
      <alignment horizontal="left" vertical="center"/>
    </xf>
    <xf numFmtId="0" fontId="16" fillId="4" borderId="0" xfId="0" applyFont="1" applyFill="1" applyAlignment="1">
      <alignment horizontal="left" vertical="center"/>
    </xf>
    <xf numFmtId="0" fontId="16" fillId="4" borderId="99" xfId="0" applyFont="1" applyFill="1" applyBorder="1" applyAlignment="1">
      <alignment horizontal="left" vertical="center"/>
    </xf>
    <xf numFmtId="0" fontId="14" fillId="0" borderId="0" xfId="0" applyFont="1" applyAlignment="1">
      <alignment horizontal="center"/>
    </xf>
    <xf numFmtId="0" fontId="34" fillId="0" borderId="0" xfId="0" applyFont="1" applyAlignment="1">
      <alignment horizontal="center"/>
    </xf>
    <xf numFmtId="0" fontId="25" fillId="0" borderId="0" xfId="0" applyFont="1" applyAlignment="1">
      <alignment horizontal="center"/>
    </xf>
    <xf numFmtId="0" fontId="25" fillId="0" borderId="0" xfId="0" applyFont="1" applyAlignment="1">
      <alignment horizontal="center" vertical="center"/>
    </xf>
    <xf numFmtId="0" fontId="0" fillId="0" borderId="0" xfId="0" applyAlignment="1">
      <alignment horizontal="center"/>
    </xf>
    <xf numFmtId="0" fontId="25" fillId="0" borderId="0" xfId="0" applyFont="1" applyAlignment="1">
      <alignment horizontal="center" vertical="center" wrapText="1"/>
    </xf>
    <xf numFmtId="0" fontId="0" fillId="0" borderId="68" xfId="0" applyBorder="1" applyAlignment="1">
      <alignment horizontal="center"/>
    </xf>
    <xf numFmtId="0" fontId="26" fillId="0" borderId="69" xfId="0" applyFont="1" applyBorder="1" applyAlignment="1">
      <alignment horizontal="center"/>
    </xf>
    <xf numFmtId="0" fontId="26" fillId="0" borderId="72" xfId="0" applyFont="1" applyBorder="1" applyAlignment="1">
      <alignment horizontal="center"/>
    </xf>
    <xf numFmtId="0" fontId="26" fillId="0" borderId="73" xfId="0" applyFont="1" applyBorder="1" applyAlignment="1">
      <alignment horizontal="center"/>
    </xf>
    <xf numFmtId="0" fontId="26" fillId="0" borderId="70" xfId="0" applyFont="1" applyBorder="1" applyAlignment="1">
      <alignment horizontal="center"/>
    </xf>
    <xf numFmtId="0" fontId="26" fillId="0" borderId="0" xfId="0" applyFont="1" applyAlignment="1">
      <alignment horizontal="center"/>
    </xf>
    <xf numFmtId="0" fontId="26" fillId="0" borderId="28" xfId="0" applyFont="1" applyBorder="1" applyAlignment="1">
      <alignment horizontal="center"/>
    </xf>
    <xf numFmtId="0" fontId="26" fillId="0" borderId="70" xfId="0" applyFont="1" applyBorder="1" applyAlignment="1">
      <alignment horizontal="center" wrapText="1"/>
    </xf>
    <xf numFmtId="0" fontId="26" fillId="0" borderId="0" xfId="0" applyFont="1" applyAlignment="1">
      <alignment horizontal="center" wrapText="1"/>
    </xf>
    <xf numFmtId="0" fontId="26" fillId="0" borderId="28" xfId="0" applyFont="1" applyBorder="1" applyAlignment="1">
      <alignment horizontal="center" wrapText="1"/>
    </xf>
    <xf numFmtId="0" fontId="26" fillId="0" borderId="71" xfId="0" applyFont="1" applyBorder="1" applyAlignment="1">
      <alignment horizontal="center" wrapText="1"/>
    </xf>
    <xf numFmtId="0" fontId="26" fillId="0" borderId="68" xfId="0" applyFont="1" applyBorder="1" applyAlignment="1">
      <alignment horizontal="center" wrapText="1"/>
    </xf>
    <xf numFmtId="0" fontId="26" fillId="0" borderId="74" xfId="0" applyFont="1" applyBorder="1" applyAlignment="1">
      <alignment horizontal="center" wrapText="1"/>
    </xf>
    <xf numFmtId="0" fontId="0" fillId="4" borderId="0" xfId="0" applyFill="1" applyAlignment="1">
      <alignment horizontal="center" vertical="center"/>
    </xf>
    <xf numFmtId="43" fontId="26" fillId="12" borderId="96" xfId="3" applyFont="1" applyFill="1" applyBorder="1" applyAlignment="1">
      <alignment horizontal="right"/>
    </xf>
    <xf numFmtId="0" fontId="0" fillId="12" borderId="0" xfId="0" applyFill="1" applyAlignment="1">
      <alignment horizontal="center"/>
    </xf>
    <xf numFmtId="0" fontId="21" fillId="20" borderId="0" xfId="0" applyFont="1" applyFill="1" applyAlignment="1">
      <alignment horizontal="center"/>
    </xf>
    <xf numFmtId="167" fontId="31" fillId="9" borderId="4" xfId="0" applyNumberFormat="1" applyFont="1" applyFill="1" applyBorder="1" applyAlignment="1">
      <alignment horizontal="center" vertical="center"/>
    </xf>
    <xf numFmtId="167" fontId="31" fillId="9" borderId="1" xfId="0" applyNumberFormat="1" applyFont="1" applyFill="1" applyBorder="1" applyAlignment="1">
      <alignment horizontal="center" vertical="center"/>
    </xf>
    <xf numFmtId="3" fontId="31" fillId="6" borderId="4" xfId="0" applyNumberFormat="1" applyFont="1" applyFill="1" applyBorder="1" applyAlignment="1">
      <alignment horizontal="center" vertical="center" wrapText="1"/>
    </xf>
    <xf numFmtId="3" fontId="31" fillId="6" borderId="5" xfId="0" applyNumberFormat="1" applyFont="1" applyFill="1" applyBorder="1" applyAlignment="1">
      <alignment horizontal="center" vertical="center" wrapText="1"/>
    </xf>
    <xf numFmtId="0" fontId="21" fillId="9" borderId="2" xfId="0" applyFont="1" applyFill="1" applyBorder="1" applyAlignment="1">
      <alignment horizontal="center" vertical="center" wrapText="1"/>
    </xf>
    <xf numFmtId="3" fontId="21" fillId="4" borderId="0" xfId="0" applyNumberFormat="1" applyFont="1" applyFill="1" applyAlignment="1">
      <alignment horizontal="center" vertical="center" wrapText="1"/>
    </xf>
    <xf numFmtId="170" fontId="35" fillId="4" borderId="0" xfId="0" applyNumberFormat="1" applyFont="1" applyFill="1" applyAlignment="1">
      <alignment horizontal="center" vertical="center"/>
    </xf>
    <xf numFmtId="170" fontId="21" fillId="9" borderId="1" xfId="0" applyNumberFormat="1" applyFont="1" applyFill="1" applyBorder="1" applyAlignment="1">
      <alignment horizontal="center" vertical="center"/>
    </xf>
    <xf numFmtId="170" fontId="21" fillId="9" borderId="2" xfId="0" applyNumberFormat="1" applyFont="1" applyFill="1" applyBorder="1" applyAlignment="1">
      <alignment horizontal="center" vertical="center"/>
    </xf>
    <xf numFmtId="0" fontId="31" fillId="9" borderId="2" xfId="0" applyFont="1" applyFill="1" applyBorder="1" applyAlignment="1">
      <alignment horizontal="center" vertical="center"/>
    </xf>
    <xf numFmtId="170" fontId="29" fillId="7" borderId="4" xfId="0" applyNumberFormat="1" applyFont="1" applyFill="1" applyBorder="1" applyAlignment="1">
      <alignment horizontal="center" vertical="center"/>
    </xf>
    <xf numFmtId="170" fontId="29" fillId="7" borderId="1" xfId="0" applyNumberFormat="1" applyFont="1" applyFill="1" applyBorder="1" applyAlignment="1">
      <alignment horizontal="center" vertical="center"/>
    </xf>
    <xf numFmtId="3" fontId="31" fillId="6" borderId="9" xfId="0" applyNumberFormat="1" applyFont="1" applyFill="1" applyBorder="1" applyAlignment="1">
      <alignment horizontal="center" vertical="center" wrapText="1"/>
    </xf>
    <xf numFmtId="3" fontId="31" fillId="6" borderId="10" xfId="0" applyNumberFormat="1" applyFont="1" applyFill="1" applyBorder="1" applyAlignment="1">
      <alignment horizontal="center" vertical="center" wrapText="1"/>
    </xf>
    <xf numFmtId="0" fontId="29" fillId="0" borderId="60" xfId="0" applyFont="1" applyBorder="1" applyAlignment="1">
      <alignment horizontal="center"/>
    </xf>
    <xf numFmtId="0" fontId="29" fillId="0" borderId="0" xfId="0" applyFont="1" applyAlignment="1">
      <alignment horizontal="center"/>
    </xf>
    <xf numFmtId="170" fontId="21" fillId="6" borderId="4" xfId="0" applyNumberFormat="1" applyFont="1" applyFill="1" applyBorder="1" applyAlignment="1">
      <alignment horizontal="center" vertical="center" wrapText="1"/>
    </xf>
    <xf numFmtId="170" fontId="21" fillId="6" borderId="1" xfId="0" applyNumberFormat="1" applyFont="1" applyFill="1" applyBorder="1" applyAlignment="1">
      <alignment horizontal="center" vertical="center" wrapText="1"/>
    </xf>
    <xf numFmtId="170" fontId="35" fillId="7" borderId="4" xfId="0" applyNumberFormat="1" applyFont="1" applyFill="1" applyBorder="1" applyAlignment="1">
      <alignment horizontal="center" vertical="center"/>
    </xf>
    <xf numFmtId="170" fontId="35" fillId="7" borderId="1" xfId="0" applyNumberFormat="1" applyFont="1" applyFill="1" applyBorder="1" applyAlignment="1">
      <alignment horizontal="center" vertical="center"/>
    </xf>
    <xf numFmtId="170" fontId="21" fillId="9" borderId="1" xfId="0" applyNumberFormat="1" applyFont="1" applyFill="1" applyBorder="1" applyAlignment="1">
      <alignment horizontal="center" vertical="center" wrapText="1"/>
    </xf>
    <xf numFmtId="170" fontId="21" fillId="9" borderId="2" xfId="0" applyNumberFormat="1" applyFont="1" applyFill="1" applyBorder="1" applyAlignment="1">
      <alignment horizontal="center" vertical="center" wrapText="1"/>
    </xf>
    <xf numFmtId="0" fontId="31" fillId="9" borderId="2" xfId="0" applyFont="1" applyFill="1" applyBorder="1" applyAlignment="1">
      <alignment horizontal="center" vertical="center" wrapText="1"/>
    </xf>
    <xf numFmtId="3" fontId="31" fillId="6" borderId="1" xfId="0" applyNumberFormat="1" applyFont="1" applyFill="1" applyBorder="1" applyAlignment="1">
      <alignment horizontal="center" vertical="center" wrapText="1"/>
    </xf>
    <xf numFmtId="3" fontId="21" fillId="6" borderId="4" xfId="0" applyNumberFormat="1" applyFont="1" applyFill="1" applyBorder="1" applyAlignment="1">
      <alignment horizontal="center" vertical="center" wrapText="1"/>
    </xf>
    <xf numFmtId="3" fontId="21" fillId="6" borderId="5" xfId="0" applyNumberFormat="1" applyFont="1" applyFill="1" applyBorder="1" applyAlignment="1">
      <alignment horizontal="center" vertical="center" wrapText="1"/>
    </xf>
    <xf numFmtId="3" fontId="21" fillId="6" borderId="1" xfId="0" applyNumberFormat="1" applyFont="1" applyFill="1" applyBorder="1" applyAlignment="1">
      <alignment horizontal="center" vertical="center" wrapText="1"/>
    </xf>
    <xf numFmtId="0" fontId="0" fillId="0" borderId="58" xfId="0" applyBorder="1" applyAlignment="1">
      <alignment horizontal="center"/>
    </xf>
    <xf numFmtId="0" fontId="0" fillId="0" borderId="85" xfId="0" applyBorder="1" applyAlignment="1">
      <alignment horizontal="center"/>
    </xf>
    <xf numFmtId="170" fontId="25" fillId="9" borderId="1" xfId="0" applyNumberFormat="1" applyFont="1" applyFill="1" applyBorder="1" applyAlignment="1">
      <alignment horizontal="center" vertical="center"/>
    </xf>
    <xf numFmtId="170" fontId="25" fillId="9" borderId="2" xfId="0" applyNumberFormat="1" applyFont="1" applyFill="1" applyBorder="1" applyAlignment="1">
      <alignment horizontal="center" vertical="center"/>
    </xf>
    <xf numFmtId="167" fontId="2" fillId="9" borderId="1" xfId="0" applyNumberFormat="1" applyFont="1" applyFill="1" applyBorder="1" applyAlignment="1">
      <alignment horizontal="center" vertical="center"/>
    </xf>
    <xf numFmtId="167" fontId="2" fillId="9" borderId="2" xfId="0" applyNumberFormat="1" applyFont="1" applyFill="1" applyBorder="1" applyAlignment="1">
      <alignment horizontal="center" vertical="center"/>
    </xf>
    <xf numFmtId="170" fontId="21" fillId="9" borderId="5" xfId="0" applyNumberFormat="1" applyFont="1" applyFill="1" applyBorder="1" applyAlignment="1">
      <alignment horizontal="center" vertical="center"/>
    </xf>
    <xf numFmtId="3" fontId="30" fillId="6" borderId="58" xfId="0" applyNumberFormat="1" applyFont="1" applyFill="1" applyBorder="1" applyAlignment="1">
      <alignment horizontal="center" vertical="center" wrapText="1"/>
    </xf>
    <xf numFmtId="3" fontId="30" fillId="6" borderId="85" xfId="0" applyNumberFormat="1" applyFont="1" applyFill="1" applyBorder="1" applyAlignment="1">
      <alignment horizontal="center" vertical="center" wrapText="1"/>
    </xf>
    <xf numFmtId="3" fontId="2" fillId="6" borderId="4" xfId="0" applyNumberFormat="1" applyFont="1" applyFill="1" applyBorder="1" applyAlignment="1">
      <alignment horizontal="center" vertical="center" wrapText="1"/>
    </xf>
    <xf numFmtId="3" fontId="2" fillId="6" borderId="5" xfId="0" applyNumberFormat="1" applyFont="1" applyFill="1" applyBorder="1" applyAlignment="1">
      <alignment horizontal="center" vertical="center" wrapText="1"/>
    </xf>
    <xf numFmtId="3" fontId="2" fillId="6" borderId="1" xfId="0" applyNumberFormat="1" applyFont="1" applyFill="1" applyBorder="1" applyAlignment="1">
      <alignment horizontal="center" vertical="center" wrapText="1"/>
    </xf>
    <xf numFmtId="170" fontId="35" fillId="7" borderId="9" xfId="0" applyNumberFormat="1" applyFont="1" applyFill="1" applyBorder="1" applyAlignment="1">
      <alignment horizontal="center" vertical="center"/>
    </xf>
    <xf numFmtId="170" fontId="35" fillId="7" borderId="10" xfId="0" applyNumberFormat="1" applyFont="1" applyFill="1" applyBorder="1" applyAlignment="1">
      <alignment horizontal="center" vertical="center"/>
    </xf>
    <xf numFmtId="0" fontId="2" fillId="9" borderId="2" xfId="0" applyFont="1" applyFill="1" applyBorder="1" applyAlignment="1">
      <alignment horizontal="center" vertical="center" wrapText="1"/>
    </xf>
    <xf numFmtId="0" fontId="35" fillId="4" borderId="60" xfId="0" applyFont="1" applyFill="1" applyBorder="1" applyAlignment="1">
      <alignment horizontal="center"/>
    </xf>
    <xf numFmtId="3" fontId="30" fillId="6" borderId="4" xfId="0" applyNumberFormat="1" applyFont="1" applyFill="1" applyBorder="1" applyAlignment="1">
      <alignment horizontal="center" vertical="center" wrapText="1"/>
    </xf>
    <xf numFmtId="3" fontId="30" fillId="6" borderId="5" xfId="0" applyNumberFormat="1" applyFont="1" applyFill="1" applyBorder="1" applyAlignment="1">
      <alignment horizontal="center" vertical="center" wrapText="1"/>
    </xf>
    <xf numFmtId="3" fontId="30" fillId="6" borderId="1" xfId="0" applyNumberFormat="1" applyFont="1" applyFill="1" applyBorder="1" applyAlignment="1">
      <alignment horizontal="center" vertical="center" wrapText="1"/>
    </xf>
    <xf numFmtId="170" fontId="29" fillId="7" borderId="2" xfId="0" applyNumberFormat="1" applyFont="1" applyFill="1" applyBorder="1" applyAlignment="1">
      <alignment horizontal="center" vertical="center"/>
    </xf>
    <xf numFmtId="0" fontId="16" fillId="0" borderId="60" xfId="0" applyFont="1" applyBorder="1" applyAlignment="1">
      <alignment horizontal="center"/>
    </xf>
    <xf numFmtId="170" fontId="25" fillId="9" borderId="5" xfId="0" applyNumberFormat="1" applyFont="1" applyFill="1" applyBorder="1" applyAlignment="1">
      <alignment horizontal="center" vertical="center"/>
    </xf>
    <xf numFmtId="0" fontId="16" fillId="0" borderId="0" xfId="0" applyFont="1" applyAlignment="1">
      <alignment horizontal="center"/>
    </xf>
    <xf numFmtId="170" fontId="25" fillId="9" borderId="11" xfId="0" applyNumberFormat="1" applyFont="1" applyFill="1" applyBorder="1" applyAlignment="1">
      <alignment horizontal="center" vertical="center"/>
    </xf>
    <xf numFmtId="170" fontId="25" fillId="9" borderId="4" xfId="0" applyNumberFormat="1" applyFont="1" applyFill="1" applyBorder="1" applyAlignment="1">
      <alignment horizontal="center" vertical="center"/>
    </xf>
    <xf numFmtId="167" fontId="2" fillId="9" borderId="4" xfId="0" applyNumberFormat="1" applyFont="1" applyFill="1" applyBorder="1" applyAlignment="1">
      <alignment horizontal="center" vertical="center"/>
    </xf>
    <xf numFmtId="170" fontId="2" fillId="9" borderId="5" xfId="0" applyNumberFormat="1" applyFont="1" applyFill="1" applyBorder="1" applyAlignment="1">
      <alignment horizontal="center" vertical="center"/>
    </xf>
    <xf numFmtId="170" fontId="2" fillId="9" borderId="1" xfId="0" applyNumberFormat="1" applyFont="1" applyFill="1" applyBorder="1" applyAlignment="1">
      <alignment horizontal="center" vertical="center"/>
    </xf>
    <xf numFmtId="170" fontId="2" fillId="9" borderId="2" xfId="0" applyNumberFormat="1" applyFont="1" applyFill="1" applyBorder="1" applyAlignment="1">
      <alignment horizontal="center" vertical="center"/>
    </xf>
    <xf numFmtId="170" fontId="35" fillId="7" borderId="2" xfId="0" applyNumberFormat="1" applyFont="1" applyFill="1" applyBorder="1" applyAlignment="1">
      <alignment horizontal="center" vertical="center"/>
    </xf>
    <xf numFmtId="0" fontId="46" fillId="0" borderId="60" xfId="0" applyFont="1" applyBorder="1" applyAlignment="1">
      <alignment horizontal="center"/>
    </xf>
    <xf numFmtId="3" fontId="25" fillId="6" borderId="4" xfId="0" applyNumberFormat="1" applyFont="1" applyFill="1" applyBorder="1" applyAlignment="1">
      <alignment horizontal="center" vertical="center" wrapText="1"/>
    </xf>
    <xf numFmtId="3" fontId="25" fillId="6" borderId="5" xfId="0" applyNumberFormat="1" applyFont="1" applyFill="1" applyBorder="1" applyAlignment="1">
      <alignment horizontal="center" vertical="center" wrapText="1"/>
    </xf>
    <xf numFmtId="3" fontId="25" fillId="6" borderId="1" xfId="0" applyNumberFormat="1" applyFont="1" applyFill="1" applyBorder="1" applyAlignment="1">
      <alignment horizontal="center" vertical="center" wrapText="1"/>
    </xf>
    <xf numFmtId="0" fontId="2" fillId="9" borderId="2" xfId="0" applyFont="1" applyFill="1" applyBorder="1" applyAlignment="1">
      <alignment horizontal="center" vertical="center"/>
    </xf>
    <xf numFmtId="170" fontId="35" fillId="30" borderId="2" xfId="0" applyNumberFormat="1" applyFont="1" applyFill="1" applyBorder="1" applyAlignment="1">
      <alignment horizontal="center" vertical="center"/>
    </xf>
    <xf numFmtId="3" fontId="21" fillId="6" borderId="12" xfId="0" applyNumberFormat="1" applyFont="1" applyFill="1" applyBorder="1" applyAlignment="1">
      <alignment horizontal="center" vertical="center" wrapText="1"/>
    </xf>
    <xf numFmtId="3" fontId="21" fillId="6" borderId="17" xfId="0" applyNumberFormat="1" applyFont="1" applyFill="1" applyBorder="1" applyAlignment="1">
      <alignment horizontal="center" vertical="center" wrapText="1"/>
    </xf>
    <xf numFmtId="3" fontId="2" fillId="9" borderId="2" xfId="0" applyNumberFormat="1" applyFont="1" applyFill="1" applyBorder="1" applyAlignment="1">
      <alignment horizontal="center" vertical="center" wrapText="1"/>
    </xf>
    <xf numFmtId="0" fontId="25" fillId="9" borderId="4" xfId="0" applyFont="1" applyFill="1" applyBorder="1" applyAlignment="1">
      <alignment horizontal="center" vertical="center" wrapText="1"/>
    </xf>
    <xf numFmtId="0" fontId="25" fillId="9" borderId="1" xfId="0" applyFont="1" applyFill="1" applyBorder="1" applyAlignment="1">
      <alignment horizontal="center" vertical="center" wrapText="1"/>
    </xf>
    <xf numFmtId="0" fontId="25" fillId="9" borderId="26" xfId="0" applyFont="1" applyFill="1" applyBorder="1" applyAlignment="1">
      <alignment horizontal="center" vertical="center" wrapText="1"/>
    </xf>
    <xf numFmtId="0" fontId="25" fillId="9" borderId="21" xfId="0" applyFont="1" applyFill="1" applyBorder="1" applyAlignment="1">
      <alignment horizontal="center" vertical="center" wrapText="1"/>
    </xf>
    <xf numFmtId="170" fontId="37" fillId="30" borderId="4" xfId="0" applyNumberFormat="1" applyFont="1" applyFill="1" applyBorder="1" applyAlignment="1">
      <alignment horizontal="center" vertical="center"/>
    </xf>
    <xf numFmtId="170" fontId="37" fillId="30" borderId="1" xfId="0" applyNumberFormat="1" applyFont="1" applyFill="1" applyBorder="1" applyAlignment="1">
      <alignment horizontal="center" vertical="center"/>
    </xf>
    <xf numFmtId="170" fontId="35" fillId="30" borderId="4" xfId="0" applyNumberFormat="1" applyFont="1" applyFill="1" applyBorder="1" applyAlignment="1">
      <alignment horizontal="center" vertical="center"/>
    </xf>
    <xf numFmtId="170" fontId="35" fillId="30" borderId="1" xfId="0" applyNumberFormat="1" applyFont="1" applyFill="1" applyBorder="1" applyAlignment="1">
      <alignment horizontal="center" vertical="center"/>
    </xf>
    <xf numFmtId="170" fontId="29" fillId="30" borderId="4" xfId="0" applyNumberFormat="1" applyFont="1" applyFill="1" applyBorder="1" applyAlignment="1">
      <alignment horizontal="center"/>
    </xf>
    <xf numFmtId="170" fontId="29" fillId="30" borderId="1" xfId="0" applyNumberFormat="1" applyFont="1" applyFill="1" applyBorder="1" applyAlignment="1">
      <alignment horizontal="center"/>
    </xf>
    <xf numFmtId="170" fontId="37" fillId="7" borderId="4" xfId="0" applyNumberFormat="1" applyFont="1" applyFill="1" applyBorder="1" applyAlignment="1">
      <alignment horizontal="center" vertical="center"/>
    </xf>
    <xf numFmtId="170" fontId="37" fillId="7" borderId="1" xfId="0" applyNumberFormat="1" applyFont="1" applyFill="1" applyBorder="1" applyAlignment="1">
      <alignment horizontal="center" vertical="center"/>
    </xf>
    <xf numFmtId="3" fontId="21" fillId="6" borderId="51" xfId="0" applyNumberFormat="1" applyFont="1" applyFill="1" applyBorder="1" applyAlignment="1">
      <alignment horizontal="center" vertical="center" wrapText="1"/>
    </xf>
    <xf numFmtId="0" fontId="25" fillId="4" borderId="26" xfId="0" applyFont="1" applyFill="1" applyBorder="1" applyAlignment="1">
      <alignment horizontal="center" vertical="center" wrapText="1"/>
    </xf>
    <xf numFmtId="0" fontId="25" fillId="4" borderId="25" xfId="0" applyFont="1" applyFill="1" applyBorder="1" applyAlignment="1">
      <alignment horizontal="center" vertical="center" wrapText="1"/>
    </xf>
    <xf numFmtId="170" fontId="14" fillId="4" borderId="60" xfId="3" applyNumberFormat="1" applyFont="1" applyFill="1" applyBorder="1" applyAlignment="1">
      <alignment horizontal="center"/>
    </xf>
    <xf numFmtId="170" fontId="14" fillId="4" borderId="10" xfId="3" applyNumberFormat="1" applyFont="1" applyFill="1" applyBorder="1" applyAlignment="1">
      <alignment horizontal="center"/>
    </xf>
    <xf numFmtId="170" fontId="14" fillId="4" borderId="4" xfId="0" applyNumberFormat="1" applyFont="1" applyFill="1" applyBorder="1" applyAlignment="1">
      <alignment horizontal="center"/>
    </xf>
    <xf numFmtId="170" fontId="14" fillId="4" borderId="1" xfId="0" applyNumberFormat="1" applyFont="1" applyFill="1" applyBorder="1" applyAlignment="1">
      <alignment horizontal="center"/>
    </xf>
    <xf numFmtId="0" fontId="25" fillId="9" borderId="20" xfId="0" applyFont="1" applyFill="1" applyBorder="1" applyAlignment="1">
      <alignment horizontal="center" vertical="center" wrapText="1"/>
    </xf>
    <xf numFmtId="0" fontId="25" fillId="9" borderId="18" xfId="0" applyFont="1" applyFill="1" applyBorder="1" applyAlignment="1">
      <alignment horizontal="center" vertical="center" wrapText="1"/>
    </xf>
    <xf numFmtId="0" fontId="25" fillId="9" borderId="24" xfId="0" applyFont="1" applyFill="1" applyBorder="1" applyAlignment="1">
      <alignment horizontal="center" vertical="center" wrapText="1"/>
    </xf>
    <xf numFmtId="170" fontId="35" fillId="7" borderId="24" xfId="0" applyNumberFormat="1" applyFont="1" applyFill="1" applyBorder="1" applyAlignment="1">
      <alignment horizontal="center" vertical="center"/>
    </xf>
    <xf numFmtId="170" fontId="35" fillId="7" borderId="5" xfId="0" applyNumberFormat="1" applyFont="1" applyFill="1" applyBorder="1" applyAlignment="1">
      <alignment horizontal="center" vertical="center"/>
    </xf>
    <xf numFmtId="0" fontId="25" fillId="4" borderId="12" xfId="0" applyFont="1" applyFill="1" applyBorder="1" applyAlignment="1">
      <alignment horizontal="center" vertical="center" wrapText="1"/>
    </xf>
    <xf numFmtId="0" fontId="25" fillId="4" borderId="11" xfId="0" applyFont="1" applyFill="1" applyBorder="1" applyAlignment="1">
      <alignment horizontal="center" vertical="center" wrapText="1"/>
    </xf>
    <xf numFmtId="170" fontId="35" fillId="4" borderId="4" xfId="0" applyNumberFormat="1" applyFont="1" applyFill="1" applyBorder="1" applyAlignment="1">
      <alignment horizontal="center" vertical="center"/>
    </xf>
    <xf numFmtId="170" fontId="35" fillId="4" borderId="1" xfId="0" applyNumberFormat="1" applyFont="1" applyFill="1" applyBorder="1" applyAlignment="1">
      <alignment horizontal="center" vertical="center"/>
    </xf>
    <xf numFmtId="0" fontId="25" fillId="9" borderId="2" xfId="0" applyFont="1" applyFill="1" applyBorder="1" applyAlignment="1">
      <alignment horizontal="center" vertical="center" wrapText="1"/>
    </xf>
    <xf numFmtId="3" fontId="25" fillId="4" borderId="4" xfId="0" applyNumberFormat="1" applyFont="1" applyFill="1" applyBorder="1" applyAlignment="1">
      <alignment horizontal="center" vertical="center" wrapText="1"/>
    </xf>
    <xf numFmtId="3" fontId="25" fillId="4" borderId="1" xfId="0" applyNumberFormat="1" applyFont="1" applyFill="1" applyBorder="1" applyAlignment="1">
      <alignment horizontal="center" vertical="center" wrapText="1"/>
    </xf>
    <xf numFmtId="0" fontId="25" fillId="9" borderId="5" xfId="0" applyFont="1" applyFill="1" applyBorder="1" applyAlignment="1">
      <alignment horizontal="center" vertical="center" wrapText="1"/>
    </xf>
    <xf numFmtId="170" fontId="37" fillId="7" borderId="26" xfId="0" applyNumberFormat="1" applyFont="1" applyFill="1" applyBorder="1" applyAlignment="1">
      <alignment horizontal="center" vertical="center"/>
    </xf>
    <xf numFmtId="170" fontId="37" fillId="7" borderId="25" xfId="0" applyNumberFormat="1" applyFont="1" applyFill="1" applyBorder="1" applyAlignment="1">
      <alignment horizontal="center" vertical="center"/>
    </xf>
    <xf numFmtId="0" fontId="25" fillId="4" borderId="0" xfId="0" applyFont="1" applyFill="1" applyAlignment="1">
      <alignment horizontal="center" vertical="center" wrapText="1"/>
    </xf>
    <xf numFmtId="3" fontId="9" fillId="6" borderId="5" xfId="0" applyNumberFormat="1" applyFont="1" applyFill="1" applyBorder="1" applyAlignment="1">
      <alignment horizontal="center" vertical="center" wrapText="1"/>
    </xf>
    <xf numFmtId="170" fontId="35" fillId="30" borderId="6" xfId="0" applyNumberFormat="1" applyFont="1" applyFill="1" applyBorder="1" applyAlignment="1">
      <alignment horizontal="center" vertical="center"/>
    </xf>
    <xf numFmtId="170" fontId="35" fillId="30" borderId="84" xfId="0" applyNumberFormat="1" applyFont="1" applyFill="1" applyBorder="1" applyAlignment="1">
      <alignment horizontal="center" vertical="center"/>
    </xf>
    <xf numFmtId="4" fontId="29" fillId="30" borderId="4" xfId="0" applyNumberFormat="1" applyFont="1" applyFill="1" applyBorder="1" applyAlignment="1">
      <alignment horizontal="center"/>
    </xf>
    <xf numFmtId="4" fontId="29" fillId="30" borderId="1" xfId="0" applyNumberFormat="1" applyFont="1" applyFill="1" applyBorder="1" applyAlignment="1">
      <alignment horizontal="center"/>
    </xf>
    <xf numFmtId="170" fontId="29" fillId="30" borderId="21" xfId="0" applyNumberFormat="1" applyFont="1" applyFill="1" applyBorder="1" applyAlignment="1">
      <alignment horizontal="center"/>
    </xf>
    <xf numFmtId="0" fontId="29" fillId="30" borderId="25" xfId="0" applyFont="1" applyFill="1" applyBorder="1" applyAlignment="1">
      <alignment horizontal="center"/>
    </xf>
    <xf numFmtId="170" fontId="35" fillId="7" borderId="18" xfId="0" applyNumberFormat="1" applyFont="1" applyFill="1" applyBorder="1" applyAlignment="1">
      <alignment horizontal="center" vertical="center"/>
    </xf>
    <xf numFmtId="0" fontId="2" fillId="9" borderId="4" xfId="0" applyFont="1" applyFill="1" applyBorder="1" applyAlignment="1">
      <alignment horizontal="left" vertical="center" wrapText="1" indent="1"/>
    </xf>
    <xf numFmtId="0" fontId="2" fillId="9" borderId="1" xfId="0" applyFont="1" applyFill="1" applyBorder="1" applyAlignment="1">
      <alignment horizontal="left" vertical="center" wrapText="1" indent="1"/>
    </xf>
    <xf numFmtId="4" fontId="29" fillId="7" borderId="20" xfId="0" applyNumberFormat="1" applyFont="1" applyFill="1" applyBorder="1" applyAlignment="1">
      <alignment horizontal="center"/>
    </xf>
    <xf numFmtId="4" fontId="29" fillId="7" borderId="19" xfId="0" applyNumberFormat="1" applyFont="1" applyFill="1" applyBorder="1" applyAlignment="1">
      <alignment horizontal="center"/>
    </xf>
    <xf numFmtId="170" fontId="29" fillId="7" borderId="21" xfId="0" applyNumberFormat="1" applyFont="1" applyFill="1" applyBorder="1" applyAlignment="1">
      <alignment horizontal="center"/>
    </xf>
    <xf numFmtId="0" fontId="29" fillId="7" borderId="25" xfId="0" applyFont="1" applyFill="1" applyBorder="1" applyAlignment="1">
      <alignment horizontal="center"/>
    </xf>
    <xf numFmtId="0" fontId="21" fillId="9" borderId="4" xfId="0" applyFont="1" applyFill="1" applyBorder="1" applyAlignment="1">
      <alignment horizontal="center"/>
    </xf>
    <xf numFmtId="0" fontId="21" fillId="9" borderId="23" xfId="0" applyFont="1" applyFill="1" applyBorder="1" applyAlignment="1">
      <alignment horizontal="center"/>
    </xf>
    <xf numFmtId="0" fontId="21" fillId="9" borderId="9" xfId="0" applyFont="1" applyFill="1" applyBorder="1" applyAlignment="1">
      <alignment horizontal="center"/>
    </xf>
    <xf numFmtId="0" fontId="21" fillId="9" borderId="22" xfId="0" applyFont="1" applyFill="1" applyBorder="1" applyAlignment="1">
      <alignment horizontal="center"/>
    </xf>
    <xf numFmtId="0" fontId="25" fillId="9" borderId="6" xfId="0" applyFont="1" applyFill="1" applyBorder="1" applyAlignment="1">
      <alignment horizontal="center" vertical="center" wrapText="1"/>
    </xf>
    <xf numFmtId="170" fontId="35" fillId="7" borderId="6" xfId="0" applyNumberFormat="1" applyFont="1" applyFill="1" applyBorder="1" applyAlignment="1">
      <alignment horizontal="center" vertical="center"/>
    </xf>
    <xf numFmtId="170" fontId="35" fillId="7" borderId="84" xfId="0" applyNumberFormat="1" applyFont="1" applyFill="1" applyBorder="1" applyAlignment="1">
      <alignment horizontal="center" vertical="center"/>
    </xf>
    <xf numFmtId="0" fontId="21" fillId="6" borderId="58" xfId="0" applyFont="1" applyFill="1" applyBorder="1" applyAlignment="1">
      <alignment horizontal="center" vertical="center"/>
    </xf>
    <xf numFmtId="0" fontId="21" fillId="6" borderId="85" xfId="0" applyFont="1" applyFill="1" applyBorder="1" applyAlignment="1">
      <alignment horizontal="center" vertical="center"/>
    </xf>
    <xf numFmtId="170" fontId="29" fillId="30" borderId="4" xfId="0" applyNumberFormat="1" applyFont="1" applyFill="1" applyBorder="1" applyAlignment="1">
      <alignment horizontal="center" vertical="center"/>
    </xf>
    <xf numFmtId="170" fontId="29" fillId="30" borderId="1" xfId="0" applyNumberFormat="1" applyFont="1" applyFill="1" applyBorder="1" applyAlignment="1">
      <alignment horizontal="center" vertical="center"/>
    </xf>
    <xf numFmtId="170" fontId="29" fillId="30" borderId="20" xfId="0" applyNumberFormat="1" applyFont="1" applyFill="1" applyBorder="1" applyAlignment="1">
      <alignment horizontal="center" vertical="center"/>
    </xf>
    <xf numFmtId="170" fontId="29" fillId="30" borderId="19" xfId="0" applyNumberFormat="1" applyFont="1" applyFill="1" applyBorder="1" applyAlignment="1">
      <alignment horizontal="center" vertical="center"/>
    </xf>
    <xf numFmtId="170" fontId="29" fillId="7" borderId="20" xfId="0" applyNumberFormat="1" applyFont="1" applyFill="1" applyBorder="1" applyAlignment="1">
      <alignment horizontal="center" vertical="center"/>
    </xf>
    <xf numFmtId="170" fontId="29" fillId="7" borderId="19" xfId="0" applyNumberFormat="1" applyFont="1" applyFill="1" applyBorder="1" applyAlignment="1">
      <alignment horizontal="center" vertical="center"/>
    </xf>
    <xf numFmtId="170" fontId="35" fillId="7" borderId="20" xfId="0" applyNumberFormat="1" applyFont="1" applyFill="1" applyBorder="1" applyAlignment="1">
      <alignment horizontal="center" vertical="center"/>
    </xf>
    <xf numFmtId="170" fontId="35" fillId="7" borderId="19" xfId="0" applyNumberFormat="1" applyFont="1" applyFill="1" applyBorder="1" applyAlignment="1">
      <alignment horizontal="center" vertical="center"/>
    </xf>
    <xf numFmtId="170" fontId="21" fillId="6" borderId="2" xfId="0" applyNumberFormat="1" applyFont="1" applyFill="1" applyBorder="1" applyAlignment="1">
      <alignment horizontal="center" vertical="center" wrapText="1"/>
    </xf>
    <xf numFmtId="0" fontId="16" fillId="0" borderId="4" xfId="0" applyFont="1" applyBorder="1" applyAlignment="1">
      <alignment horizontal="center"/>
    </xf>
    <xf numFmtId="0" fontId="16" fillId="0" borderId="1" xfId="0" applyFont="1" applyBorder="1" applyAlignment="1">
      <alignment horizontal="center"/>
    </xf>
    <xf numFmtId="3" fontId="21" fillId="6" borderId="2" xfId="0" applyNumberFormat="1" applyFont="1" applyFill="1" applyBorder="1" applyAlignment="1">
      <alignment horizontal="center" vertical="center" wrapText="1"/>
    </xf>
    <xf numFmtId="170" fontId="25" fillId="6" borderId="4" xfId="0" applyNumberFormat="1" applyFont="1" applyFill="1" applyBorder="1" applyAlignment="1">
      <alignment horizontal="center" vertical="center" wrapText="1"/>
    </xf>
    <xf numFmtId="170" fontId="25" fillId="6" borderId="1" xfId="0" applyNumberFormat="1" applyFont="1" applyFill="1" applyBorder="1" applyAlignment="1">
      <alignment horizontal="center" vertical="center" wrapText="1"/>
    </xf>
    <xf numFmtId="3" fontId="21" fillId="6" borderId="58" xfId="0" applyNumberFormat="1" applyFont="1" applyFill="1" applyBorder="1" applyAlignment="1">
      <alignment horizontal="center" vertical="center" wrapText="1"/>
    </xf>
    <xf numFmtId="3" fontId="21" fillId="6" borderId="0" xfId="0" applyNumberFormat="1" applyFont="1" applyFill="1" applyAlignment="1">
      <alignment horizontal="center" vertical="center" wrapText="1"/>
    </xf>
    <xf numFmtId="0" fontId="0" fillId="0" borderId="17" xfId="0" applyBorder="1" applyAlignment="1">
      <alignment horizontal="center"/>
    </xf>
    <xf numFmtId="0" fontId="28" fillId="10" borderId="4" xfId="0" applyFont="1" applyFill="1" applyBorder="1" applyAlignment="1">
      <alignment horizontal="left" vertical="center"/>
    </xf>
    <xf numFmtId="0" fontId="28" fillId="10" borderId="1" xfId="0" applyFont="1" applyFill="1" applyBorder="1" applyAlignment="1">
      <alignment horizontal="left" vertical="center"/>
    </xf>
    <xf numFmtId="0" fontId="28" fillId="10" borderId="12" xfId="0" applyFont="1" applyFill="1" applyBorder="1" applyAlignment="1">
      <alignment horizontal="left" vertical="center"/>
    </xf>
    <xf numFmtId="0" fontId="28" fillId="10" borderId="11" xfId="0" applyFont="1" applyFill="1" applyBorder="1" applyAlignment="1">
      <alignment horizontal="left" vertical="center"/>
    </xf>
    <xf numFmtId="0" fontId="15" fillId="7" borderId="2" xfId="0" applyFont="1" applyFill="1" applyBorder="1" applyAlignment="1">
      <alignment horizontal="center" vertical="center" wrapText="1"/>
    </xf>
    <xf numFmtId="10" fontId="15" fillId="7" borderId="2" xfId="0" applyNumberFormat="1" applyFont="1" applyFill="1" applyBorder="1" applyAlignment="1">
      <alignment horizontal="center" vertical="center" wrapText="1"/>
    </xf>
    <xf numFmtId="167" fontId="25" fillId="5" borderId="2" xfId="0" applyNumberFormat="1" applyFont="1" applyFill="1" applyBorder="1" applyAlignment="1">
      <alignment horizontal="center" vertical="center" wrapText="1"/>
    </xf>
    <xf numFmtId="167" fontId="15" fillId="5" borderId="2" xfId="0" applyNumberFormat="1" applyFont="1" applyFill="1" applyBorder="1" applyAlignment="1">
      <alignment horizontal="center" vertical="center" wrapText="1"/>
    </xf>
    <xf numFmtId="167" fontId="2" fillId="5" borderId="2" xfId="0" applyNumberFormat="1" applyFont="1" applyFill="1" applyBorder="1" applyAlignment="1">
      <alignment horizontal="center" vertical="center" wrapText="1"/>
    </xf>
    <xf numFmtId="3" fontId="2" fillId="6" borderId="2" xfId="0" applyNumberFormat="1" applyFont="1" applyFill="1" applyBorder="1" applyAlignment="1">
      <alignment horizontal="center" vertical="center" wrapText="1"/>
    </xf>
    <xf numFmtId="167" fontId="15" fillId="7" borderId="2" xfId="0" applyNumberFormat="1" applyFont="1" applyFill="1" applyBorder="1" applyAlignment="1">
      <alignment horizontal="center" vertical="center" wrapText="1"/>
    </xf>
    <xf numFmtId="168" fontId="15" fillId="7" borderId="2" xfId="2" applyNumberFormat="1" applyFont="1" applyFill="1" applyBorder="1" applyAlignment="1" applyProtection="1">
      <alignment horizontal="center" vertical="center" wrapText="1"/>
    </xf>
    <xf numFmtId="167" fontId="15" fillId="7" borderId="2" xfId="2" applyNumberFormat="1" applyFont="1" applyFill="1" applyBorder="1" applyAlignment="1" applyProtection="1">
      <alignment horizontal="center" vertical="center" wrapText="1"/>
    </xf>
    <xf numFmtId="0" fontId="2" fillId="20" borderId="13" xfId="0" applyFont="1" applyFill="1" applyBorder="1" applyAlignment="1">
      <alignment horizontal="left" vertical="center"/>
    </xf>
    <xf numFmtId="0" fontId="0" fillId="12" borderId="15" xfId="0" applyFill="1" applyBorder="1" applyAlignment="1">
      <alignment horizontal="center" vertical="center" wrapText="1"/>
    </xf>
    <xf numFmtId="0" fontId="0" fillId="12" borderId="16" xfId="0" applyFill="1" applyBorder="1" applyAlignment="1">
      <alignment horizontal="center" vertical="center" wrapText="1"/>
    </xf>
    <xf numFmtId="0" fontId="25" fillId="10" borderId="13" xfId="0" applyFont="1" applyFill="1" applyBorder="1" applyAlignment="1">
      <alignment horizontal="center" vertical="center" wrapText="1"/>
    </xf>
    <xf numFmtId="169" fontId="0" fillId="0" borderId="0" xfId="0" applyNumberFormat="1" applyAlignment="1">
      <alignment horizontal="center"/>
    </xf>
    <xf numFmtId="0" fontId="21" fillId="37" borderId="13" xfId="0" applyFont="1" applyFill="1" applyBorder="1" applyAlignment="1">
      <alignment horizontal="center" vertical="center" wrapText="1"/>
    </xf>
    <xf numFmtId="0" fontId="21" fillId="37" borderId="15" xfId="0" applyFont="1" applyFill="1" applyBorder="1" applyAlignment="1">
      <alignment horizontal="center" vertical="center" wrapText="1"/>
    </xf>
    <xf numFmtId="0" fontId="21" fillId="37" borderId="16" xfId="0" applyFont="1" applyFill="1" applyBorder="1" applyAlignment="1">
      <alignment horizontal="center" vertical="center" wrapText="1"/>
    </xf>
    <xf numFmtId="0" fontId="0" fillId="12" borderId="15" xfId="0" applyFill="1" applyBorder="1" applyAlignment="1">
      <alignment horizontal="center"/>
    </xf>
    <xf numFmtId="0" fontId="0" fillId="12" borderId="16" xfId="0" applyFill="1" applyBorder="1" applyAlignment="1">
      <alignment horizontal="center"/>
    </xf>
    <xf numFmtId="0" fontId="14" fillId="0" borderId="46" xfId="0" applyFont="1" applyBorder="1" applyAlignment="1">
      <alignment horizontal="left" vertical="center" wrapText="1"/>
    </xf>
    <xf numFmtId="0" fontId="14" fillId="0" borderId="45" xfId="0" applyFont="1" applyBorder="1" applyAlignment="1">
      <alignment horizontal="left" vertical="center" wrapText="1"/>
    </xf>
    <xf numFmtId="0" fontId="14" fillId="0" borderId="44" xfId="0" applyFont="1" applyBorder="1" applyAlignment="1">
      <alignment horizontal="left" vertical="center" wrapText="1"/>
    </xf>
    <xf numFmtId="0" fontId="14" fillId="0" borderId="14" xfId="0" applyFont="1" applyBorder="1" applyAlignment="1">
      <alignment horizontal="left" vertical="center" wrapText="1"/>
    </xf>
    <xf numFmtId="0" fontId="14" fillId="0" borderId="0" xfId="0" applyFont="1" applyAlignment="1">
      <alignment horizontal="left" vertical="center" wrapText="1"/>
    </xf>
    <xf numFmtId="0" fontId="14" fillId="0" borderId="31" xfId="0" applyFont="1" applyBorder="1" applyAlignment="1">
      <alignment horizontal="left" vertical="center" wrapText="1"/>
    </xf>
    <xf numFmtId="0" fontId="14" fillId="0" borderId="29" xfId="0" applyFont="1" applyBorder="1" applyAlignment="1">
      <alignment horizontal="left" vertical="center" wrapText="1"/>
    </xf>
    <xf numFmtId="0" fontId="14" fillId="0" borderId="28" xfId="0" applyFont="1" applyBorder="1" applyAlignment="1">
      <alignment horizontal="left" vertical="center" wrapText="1"/>
    </xf>
    <xf numFmtId="0" fontId="14" fillId="0" borderId="36" xfId="0" applyFont="1" applyBorder="1" applyAlignment="1">
      <alignment horizontal="left" vertical="center" wrapText="1"/>
    </xf>
    <xf numFmtId="0" fontId="44" fillId="19" borderId="15" xfId="0" applyFont="1" applyFill="1" applyBorder="1" applyAlignment="1">
      <alignment horizontal="center" vertical="center"/>
    </xf>
    <xf numFmtId="0" fontId="44" fillId="19" borderId="57" xfId="0" applyFont="1" applyFill="1" applyBorder="1" applyAlignment="1">
      <alignment horizontal="center" vertical="center"/>
    </xf>
    <xf numFmtId="0" fontId="44" fillId="19" borderId="56" xfId="0" applyFont="1" applyFill="1" applyBorder="1" applyAlignment="1">
      <alignment horizontal="center" vertical="center" wrapText="1"/>
    </xf>
    <xf numFmtId="0" fontId="44" fillId="19" borderId="37" xfId="0" applyFont="1" applyFill="1" applyBorder="1" applyAlignment="1">
      <alignment horizontal="center" vertical="center" wrapText="1"/>
    </xf>
    <xf numFmtId="0" fontId="44" fillId="19" borderId="16" xfId="0" applyFont="1" applyFill="1" applyBorder="1" applyAlignment="1">
      <alignment horizontal="center" vertical="center" wrapText="1"/>
    </xf>
    <xf numFmtId="0" fontId="29" fillId="0" borderId="15" xfId="0" applyFont="1" applyBorder="1" applyAlignment="1">
      <alignment horizontal="left" vertical="top" wrapText="1"/>
    </xf>
    <xf numFmtId="0" fontId="29" fillId="0" borderId="37" xfId="0" applyFont="1" applyBorder="1" applyAlignment="1">
      <alignment horizontal="left" vertical="top" wrapText="1"/>
    </xf>
    <xf numFmtId="0" fontId="29" fillId="0" borderId="16" xfId="0" applyFont="1" applyBorder="1" applyAlignment="1">
      <alignment horizontal="left" vertical="top" wrapText="1"/>
    </xf>
    <xf numFmtId="0" fontId="21" fillId="10" borderId="52" xfId="0" applyFont="1" applyFill="1" applyBorder="1" applyAlignment="1">
      <alignment horizontal="center" vertical="center"/>
    </xf>
    <xf numFmtId="0" fontId="21" fillId="10" borderId="0" xfId="0" applyFont="1" applyFill="1" applyAlignment="1">
      <alignment horizontal="center" vertical="center"/>
    </xf>
    <xf numFmtId="0" fontId="14" fillId="0" borderId="50" xfId="0" applyFont="1" applyBorder="1" applyAlignment="1">
      <alignment horizontal="left" vertical="center"/>
    </xf>
    <xf numFmtId="0" fontId="14" fillId="0" borderId="49" xfId="0" applyFont="1" applyBorder="1" applyAlignment="1">
      <alignment horizontal="left" vertical="center"/>
    </xf>
    <xf numFmtId="0" fontId="14" fillId="0" borderId="48" xfId="0" applyFont="1" applyBorder="1" applyAlignment="1">
      <alignment horizontal="left" vertical="center"/>
    </xf>
    <xf numFmtId="0" fontId="0" fillId="0" borderId="15" xfId="0" applyBorder="1" applyAlignment="1">
      <alignment horizontal="center"/>
    </xf>
    <xf numFmtId="0" fontId="0" fillId="0" borderId="16" xfId="0" applyBorder="1" applyAlignment="1">
      <alignment horizontal="center"/>
    </xf>
    <xf numFmtId="0" fontId="2" fillId="20" borderId="13" xfId="0" applyFont="1" applyFill="1" applyBorder="1" applyAlignment="1">
      <alignment horizontal="left" vertical="center" wrapText="1"/>
    </xf>
    <xf numFmtId="0" fontId="2" fillId="20" borderId="15" xfId="0" applyFont="1" applyFill="1" applyBorder="1" applyAlignment="1">
      <alignment horizontal="left" vertical="center"/>
    </xf>
    <xf numFmtId="0" fontId="2" fillId="20" borderId="16" xfId="0" applyFont="1" applyFill="1" applyBorder="1" applyAlignment="1">
      <alignment horizontal="left" vertical="center"/>
    </xf>
    <xf numFmtId="0" fontId="29" fillId="19" borderId="13" xfId="0" applyFont="1" applyFill="1" applyBorder="1" applyAlignment="1">
      <alignment horizontal="center" vertical="center"/>
    </xf>
    <xf numFmtId="0" fontId="29" fillId="19" borderId="15" xfId="0" applyFont="1" applyFill="1" applyBorder="1" applyAlignment="1">
      <alignment horizontal="center" vertical="center"/>
    </xf>
    <xf numFmtId="0" fontId="29" fillId="19" borderId="13" xfId="0" applyFont="1" applyFill="1" applyBorder="1" applyAlignment="1">
      <alignment horizontal="center"/>
    </xf>
    <xf numFmtId="0" fontId="26" fillId="36" borderId="13" xfId="0" applyFont="1" applyFill="1" applyBorder="1" applyAlignment="1">
      <alignment horizontal="center" vertical="center" wrapText="1"/>
    </xf>
    <xf numFmtId="0" fontId="26" fillId="36" borderId="33" xfId="0" applyFont="1" applyFill="1" applyBorder="1" applyAlignment="1">
      <alignment horizontal="center" vertical="center" wrapText="1"/>
    </xf>
    <xf numFmtId="0" fontId="26" fillId="36" borderId="32" xfId="0" applyFont="1" applyFill="1" applyBorder="1" applyAlignment="1">
      <alignment horizontal="center" vertical="center" wrapText="1"/>
    </xf>
    <xf numFmtId="0" fontId="26" fillId="36" borderId="13" xfId="0" applyFont="1" applyFill="1" applyBorder="1" applyAlignment="1">
      <alignment horizontal="center" vertical="center"/>
    </xf>
    <xf numFmtId="0" fontId="26" fillId="36" borderId="32" xfId="0" applyFont="1" applyFill="1" applyBorder="1" applyAlignment="1">
      <alignment horizontal="center" vertical="center"/>
    </xf>
    <xf numFmtId="0" fontId="26" fillId="36" borderId="16" xfId="0" applyFont="1" applyFill="1" applyBorder="1" applyAlignment="1">
      <alignment horizontal="center" vertical="center"/>
    </xf>
    <xf numFmtId="0" fontId="21" fillId="9" borderId="4" xfId="0" applyFont="1" applyFill="1" applyBorder="1" applyAlignment="1">
      <alignment horizontal="left" vertical="center" wrapText="1" indent="1"/>
    </xf>
    <xf numFmtId="0" fontId="21" fillId="9" borderId="1" xfId="0" applyFont="1" applyFill="1" applyBorder="1" applyAlignment="1">
      <alignment horizontal="left" vertical="center" wrapText="1" indent="1"/>
    </xf>
    <xf numFmtId="170" fontId="36" fillId="7" borderId="4" xfId="0" applyNumberFormat="1" applyFont="1" applyFill="1" applyBorder="1" applyAlignment="1">
      <alignment horizontal="center" vertical="center"/>
    </xf>
    <xf numFmtId="170" fontId="36" fillId="7" borderId="1" xfId="0" applyNumberFormat="1" applyFont="1" applyFill="1" applyBorder="1" applyAlignment="1">
      <alignment horizontal="center" vertical="center"/>
    </xf>
    <xf numFmtId="0" fontId="19" fillId="0" borderId="0" xfId="0" applyFont="1" applyAlignment="1">
      <alignment horizontal="left" vertical="center" wrapText="1"/>
    </xf>
    <xf numFmtId="167" fontId="36" fillId="7" borderId="4" xfId="0" applyNumberFormat="1" applyFont="1" applyFill="1" applyBorder="1" applyAlignment="1">
      <alignment horizontal="center" vertical="center"/>
    </xf>
    <xf numFmtId="167" fontId="36" fillId="7" borderId="1" xfId="0" applyNumberFormat="1" applyFont="1" applyFill="1" applyBorder="1" applyAlignment="1">
      <alignment horizontal="center" vertical="center"/>
    </xf>
    <xf numFmtId="3" fontId="25" fillId="9" borderId="4" xfId="0" applyNumberFormat="1" applyFont="1" applyFill="1" applyBorder="1" applyAlignment="1">
      <alignment horizontal="center" vertical="center" wrapText="1"/>
    </xf>
    <xf numFmtId="3" fontId="25" fillId="9" borderId="1" xfId="0" applyNumberFormat="1" applyFont="1" applyFill="1" applyBorder="1" applyAlignment="1">
      <alignment horizontal="center" vertical="center" wrapText="1"/>
    </xf>
    <xf numFmtId="3" fontId="25" fillId="8" borderId="4" xfId="0" applyNumberFormat="1" applyFont="1" applyFill="1" applyBorder="1" applyAlignment="1">
      <alignment horizontal="center" vertical="center" wrapText="1"/>
    </xf>
    <xf numFmtId="3" fontId="25" fillId="8" borderId="1" xfId="0" applyNumberFormat="1" applyFont="1" applyFill="1" applyBorder="1" applyAlignment="1">
      <alignment horizontal="center" vertical="center" wrapText="1"/>
    </xf>
    <xf numFmtId="170" fontId="21" fillId="8" borderId="4" xfId="0" applyNumberFormat="1" applyFont="1" applyFill="1" applyBorder="1" applyAlignment="1">
      <alignment horizontal="center" vertical="center" wrapText="1"/>
    </xf>
    <xf numFmtId="170" fontId="21" fillId="8" borderId="1" xfId="0" applyNumberFormat="1" applyFont="1" applyFill="1" applyBorder="1" applyAlignment="1">
      <alignment horizontal="center" vertical="center" wrapText="1"/>
    </xf>
  </cellXfs>
  <cellStyles count="5">
    <cellStyle name="Comma" xfId="3" builtinId="3"/>
    <cellStyle name="Currency" xfId="2" builtinId="4"/>
    <cellStyle name="Hyperlink" xfId="1" builtinId="8"/>
    <cellStyle name="Normal" xfId="0" builtinId="0"/>
    <cellStyle name="Percent" xfId="4" builtinId="5"/>
  </cellStyles>
  <dxfs count="58">
    <dxf>
      <font>
        <color rgb="FF9C5700"/>
      </font>
      <fill>
        <patternFill>
          <bgColor rgb="FFFFEB9C"/>
        </patternFill>
      </fill>
    </dxf>
    <dxf>
      <font>
        <b/>
        <i val="0"/>
      </font>
      <fill>
        <patternFill>
          <bgColor theme="7" tint="0.59996337778862885"/>
        </patternFill>
      </fill>
    </dxf>
    <dxf>
      <font>
        <b/>
        <i val="0"/>
      </font>
      <fill>
        <patternFill>
          <bgColor theme="8" tint="0.59996337778862885"/>
        </patternFill>
      </fill>
    </dxf>
    <dxf>
      <font>
        <b/>
        <i val="0"/>
      </font>
      <fill>
        <patternFill>
          <bgColor theme="5"/>
        </patternFill>
      </fill>
    </dxf>
    <dxf>
      <font>
        <b/>
        <i val="0"/>
      </font>
      <fill>
        <patternFill>
          <bgColor rgb="FFFF0000"/>
        </patternFill>
      </fill>
    </dxf>
    <dxf>
      <font>
        <b/>
        <i val="0"/>
        <color theme="5" tint="-0.499984740745262"/>
      </font>
      <fill>
        <patternFill>
          <bgColor rgb="FF92D050"/>
        </patternFill>
      </fill>
    </dxf>
    <dxf>
      <font>
        <b/>
        <i val="0"/>
        <color theme="5" tint="-0.499984740745262"/>
      </font>
      <fill>
        <patternFill>
          <bgColor theme="8" tint="0.59996337778862885"/>
        </patternFill>
      </fill>
    </dxf>
    <dxf>
      <font>
        <b/>
        <i val="0"/>
        <color theme="5" tint="-0.499984740745262"/>
      </font>
      <fill>
        <patternFill>
          <bgColor theme="7" tint="0.59996337778862885"/>
        </patternFill>
      </fill>
    </dxf>
    <dxf>
      <font>
        <b/>
        <i val="0"/>
        <color theme="0"/>
      </font>
      <fill>
        <patternFill>
          <bgColor rgb="FFC00000"/>
        </patternFill>
      </fill>
    </dxf>
    <dxf>
      <fill>
        <patternFill>
          <bgColor rgb="FFFFC7CE"/>
        </patternFill>
      </fill>
    </dxf>
    <dxf>
      <font>
        <color rgb="FF9C0006"/>
      </font>
      <fill>
        <patternFill>
          <bgColor rgb="FFFFC7CE"/>
        </patternFill>
      </fill>
    </dxf>
    <dxf>
      <font>
        <b/>
        <i val="0"/>
        <color theme="5" tint="-0.499984740745262"/>
      </font>
      <fill>
        <patternFill>
          <bgColor rgb="FF92D050"/>
        </patternFill>
      </fill>
    </dxf>
    <dxf>
      <font>
        <b/>
        <i val="0"/>
        <color theme="5" tint="-0.499984740745262"/>
      </font>
      <fill>
        <patternFill>
          <bgColor theme="8" tint="0.59996337778862885"/>
        </patternFill>
      </fill>
    </dxf>
    <dxf>
      <font>
        <b/>
        <i val="0"/>
        <color theme="5" tint="-0.499984740745262"/>
      </font>
      <fill>
        <patternFill>
          <bgColor theme="7" tint="0.59996337778862885"/>
        </patternFill>
      </fill>
    </dxf>
    <dxf>
      <font>
        <b/>
        <i val="0"/>
        <color theme="0"/>
      </font>
      <fill>
        <patternFill>
          <bgColor rgb="FFC0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D6666"/>
        </patternFill>
      </fill>
    </dxf>
    <dxf>
      <fill>
        <patternFill>
          <bgColor rgb="FF92D050"/>
        </patternFill>
      </fill>
    </dxf>
    <dxf>
      <fill>
        <patternFill>
          <bgColor rgb="FFFF0000"/>
        </patternFill>
      </fill>
    </dxf>
    <dxf>
      <fill>
        <patternFill>
          <bgColor rgb="FF92D050"/>
        </patternFill>
      </fill>
    </dxf>
    <dxf>
      <fill>
        <patternFill>
          <bgColor rgb="FFFD6666"/>
        </patternFill>
      </fill>
    </dxf>
    <dxf>
      <fill>
        <patternFill>
          <bgColor rgb="FF92D050"/>
        </patternFill>
      </fill>
    </dxf>
    <dxf>
      <fill>
        <patternFill>
          <bgColor rgb="FFFF0000"/>
        </patternFill>
      </fill>
    </dxf>
    <dxf>
      <font>
        <strike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numFmt numFmtId="35" formatCode="_-* #,##0.00_-;\-* #,##0.00_-;_-* &quot;-&quot;??_-;_-@_-"/>
    </dxf>
    <dxf>
      <font>
        <strike val="0"/>
        <outline val="0"/>
        <shadow val="0"/>
        <u val="none"/>
        <vertAlign val="baseline"/>
        <sz val="12"/>
        <color theme="1"/>
        <name val="Calibri"/>
        <family val="2"/>
        <scheme val="minor"/>
      </font>
      <numFmt numFmtId="35" formatCode="_-* #,##0.00_-;\-* #,##0.00_-;_-* &quot;-&quot;??_-;_-@_-"/>
    </dxf>
    <dxf>
      <font>
        <strike val="0"/>
        <outline val="0"/>
        <shadow val="0"/>
        <u val="none"/>
        <vertAlign val="baseline"/>
        <sz val="12"/>
        <color theme="1"/>
        <name val="Calibri"/>
        <family val="2"/>
        <scheme val="minor"/>
      </font>
      <numFmt numFmtId="3" formatCode="#,##0"/>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numFmt numFmtId="164" formatCode="_(&quot;Kz&quot;* #,##0.00_);_(&quot;Kz&quot;* \(#,##0.00\);_(&quot;Kz&quot;* &quot;-&quot;??_);_(@_)"/>
      <fill>
        <patternFill patternType="solid">
          <fgColor indexed="64"/>
          <bgColor theme="4" tint="-0.249977111117893"/>
        </patternFill>
      </fill>
      <border diagonalUp="0" diagonalDown="0">
        <left style="double">
          <color indexed="64"/>
        </left>
        <right style="double">
          <color indexed="64"/>
        </right>
        <top/>
        <bottom/>
        <vertical/>
        <horizontal/>
      </border>
    </dxf>
    <dxf>
      <font>
        <strike val="0"/>
        <outline val="0"/>
        <shadow val="0"/>
        <u val="none"/>
        <vertAlign val="baseline"/>
        <sz val="12"/>
        <name val="Calibri"/>
        <family val="2"/>
        <scheme val="minor"/>
      </font>
      <numFmt numFmtId="164" formatCode="_(&quot;Kz&quot;* #,##0.00_);_(&quot;Kz&quot;* \(#,##0.00\);_(&quot;Kz&quot;* &quot;-&quot;??_);_(@_)"/>
      <fill>
        <patternFill patternType="solid">
          <bgColor theme="4" tint="0.59999389629810485"/>
        </patternFill>
      </fill>
      <border diagonalUp="0" diagonalDown="0">
        <left style="thin">
          <color indexed="64"/>
        </left>
        <right/>
        <top/>
        <bottom/>
        <vertical/>
        <horizontal/>
      </border>
    </dxf>
    <dxf>
      <border diagonalUp="0" diagonalDown="0">
        <left style="double">
          <color indexed="64"/>
        </left>
        <right style="double">
          <color indexed="64"/>
        </right>
        <top/>
        <bottom/>
        <vertical/>
        <horizontal/>
      </border>
    </dxf>
    <dxf>
      <font>
        <strike val="0"/>
        <outline val="0"/>
        <shadow val="0"/>
        <u val="none"/>
        <vertAlign val="baseline"/>
        <sz val="12"/>
        <name val="Calibri"/>
        <family val="2"/>
        <scheme val="minor"/>
      </font>
      <fill>
        <patternFill patternType="solid">
          <bgColor theme="4" tint="0.59999389629810485"/>
        </patternFill>
      </fill>
      <border diagonalUp="0" diagonalDown="0">
        <left/>
        <right style="double">
          <color indexed="64"/>
        </right>
        <vertical/>
      </border>
    </dxf>
    <dxf>
      <font>
        <b/>
        <i val="0"/>
        <strike val="0"/>
        <condense val="0"/>
        <extend val="0"/>
        <outline val="0"/>
        <shadow val="0"/>
        <u val="none"/>
        <vertAlign val="baseline"/>
        <sz val="12"/>
        <color theme="1"/>
        <name val="Calibri"/>
        <family val="2"/>
        <scheme val="minor"/>
      </font>
      <fill>
        <patternFill patternType="solid">
          <fgColor theme="9" tint="0.79998168889431442"/>
          <bgColor theme="4" tint="0.59999389629810485"/>
        </patternFill>
      </fill>
      <border diagonalUp="0" diagonalDown="0">
        <left style="double">
          <color indexed="64"/>
        </left>
        <right style="double">
          <color indexed="64"/>
        </right>
        <top style="thin">
          <color theme="9" tint="0.39997558519241921"/>
        </top>
        <bottom style="thin">
          <color theme="9" tint="0.39997558519241921"/>
        </bottom>
        <vertical/>
      </border>
    </dxf>
    <dxf>
      <font>
        <strike val="0"/>
        <outline val="0"/>
        <shadow val="0"/>
        <u val="none"/>
        <vertAlign val="baseline"/>
        <sz val="12"/>
        <name val="Calibri"/>
        <family val="2"/>
        <scheme val="minor"/>
      </font>
    </dxf>
    <dxf>
      <border>
        <bottom style="double">
          <color indexed="64"/>
        </bottom>
      </border>
    </dxf>
    <dxf>
      <font>
        <strike val="0"/>
        <outline val="0"/>
        <shadow val="0"/>
        <u val="none"/>
        <vertAlign val="baseline"/>
        <sz val="12"/>
        <name val="Calibri"/>
        <family val="2"/>
        <scheme val="minor"/>
      </font>
      <numFmt numFmtId="0" formatCode="General"/>
      <border diagonalUp="0" diagonalDown="0">
        <left/>
        <right/>
        <top/>
        <bottom/>
        <vertical/>
        <horizontal/>
      </border>
    </dxf>
  </dxfs>
  <tableStyles count="0" defaultTableStyle="TableStyleMedium2" defaultPivotStyle="PivotStyleLight16"/>
  <colors>
    <mruColors>
      <color rgb="FF000099"/>
      <color rgb="FF0000CC"/>
      <color rgb="FF99CC99"/>
      <color rgb="FF6699CC"/>
      <color rgb="FFC6EFCE"/>
      <color rgb="FFFD6666"/>
      <color rgb="FF31869B"/>
      <color rgb="FF333333"/>
      <color rgb="FF595959"/>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barChart>
        <c:barDir val="col"/>
        <c:grouping val="clustered"/>
        <c:varyColors val="0"/>
        <c:ser>
          <c:idx val="1"/>
          <c:order val="0"/>
          <c:tx>
            <c:strRef>
              <c:f>'Activos Não Correntes'!$K$4</c:f>
              <c:strCache>
                <c:ptCount val="1"/>
                <c:pt idx="0">
                  <c:v>Activos Não Correntes - Total</c:v>
                </c:pt>
              </c:strCache>
            </c:strRef>
          </c:tx>
          <c:spPr>
            <a:solidFill>
              <a:schemeClr val="accent1"/>
            </a:solidFill>
            <a:ln>
              <a:noFill/>
            </a:ln>
            <a:effectLst/>
          </c:spPr>
          <c:invertIfNegative val="0"/>
          <c:dLbls>
            <c:dLbl>
              <c:idx val="14"/>
              <c:layout>
                <c:manualLayout>
                  <c:x val="-1.6102283322351123E-16"/>
                  <c:y val="0.2611117770006797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436-449E-A4B7-9D60E4E436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'Activos Não Correntes'!$K$5:$K$13</c:f>
              <c:strCache>
                <c:ptCount val="6"/>
                <c:pt idx="0">
                  <c:v>Imobilizações corpóreas</c:v>
                </c:pt>
                <c:pt idx="1">
                  <c:v>Imobilizações incorpóreas</c:v>
                </c:pt>
                <c:pt idx="2">
                  <c:v>Investimentos em Subsidiárias e Associadas</c:v>
                </c:pt>
                <c:pt idx="3">
                  <c:v>Outros Activos Financeiros</c:v>
                </c:pt>
                <c:pt idx="4">
                  <c:v>Provisões para Investimentos Financeiros</c:v>
                </c:pt>
                <c:pt idx="5">
                  <c:v>Outros Activos não Correntes</c:v>
                </c:pt>
              </c:strCache>
            </c:strRef>
          </c:cat>
          <c:val>
            <c:numRef>
              <c:f>'Activos Não Correntes'!$L$5:$L$13</c:f>
              <c:numCache>
                <mc:AlternateContent xmlns:mc="http://schemas.openxmlformats.org/markup-compatibility/2006">
                  <mc:Choice Requires="c16r2">
                    <c16r2:formatcode2>#\ ##0.00\ [$Kz-pt-AO]</c16r2:formatcode2>
                  </mc:Choice>
                  <mc:Fallback>
                    <c:formatCode>#\ ##0.00\ [$Kz]</c:formatCode>
                  </mc:Fallback>
                </mc:AlternateContent>
                <c:ptCount val="9"/>
                <c:pt idx="0">
                  <c:v>3423873567.8199997</c:v>
                </c:pt>
                <c:pt idx="1">
                  <c:v>21076889.280000031</c:v>
                </c:pt>
                <c:pt idx="2">
                  <c:v>0</c:v>
                </c:pt>
                <c:pt idx="3">
                  <c:v>0</c:v>
                </c:pt>
                <c:pt idx="4">
                  <c:v>0</c:v>
                </c:pt>
                <c:pt idx="5">
                  <c:v>0</c:v>
                </c:pt>
                <c:pt idx="6">
                  <c:v>0</c:v>
                </c:pt>
              </c:numCache>
            </c:numRef>
          </c:val>
          <c:extLst>
            <c:ext xmlns:c16="http://schemas.microsoft.com/office/drawing/2014/chart" uri="{C3380CC4-5D6E-409C-BE32-E72D297353CC}">
              <c16:uniqueId val="{00000001-D436-449E-A4B7-9D60E4E43629}"/>
            </c:ext>
          </c:extLst>
        </c:ser>
        <c:dLbls>
          <c:dLblPos val="outEnd"/>
          <c:showLegendKey val="0"/>
          <c:showVal val="1"/>
          <c:showCatName val="0"/>
          <c:showSerName val="0"/>
          <c:showPercent val="0"/>
          <c:showBubbleSize val="0"/>
        </c:dLbls>
        <c:gapWidth val="219"/>
        <c:overlap val="-27"/>
        <c:axId val="-589167776"/>
        <c:axId val="-589162880"/>
      </c:barChart>
      <c:catAx>
        <c:axId val="-589167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89162880"/>
        <c:crosses val="autoZero"/>
        <c:auto val="1"/>
        <c:lblAlgn val="ctr"/>
        <c:lblOffset val="100"/>
        <c:noMultiLvlLbl val="0"/>
      </c:catAx>
      <c:valAx>
        <c:axId val="-589162880"/>
        <c:scaling>
          <c:orientation val="minMax"/>
        </c:scaling>
        <c:delete val="1"/>
        <c:axPos val="l"/>
        <c:numFmt formatCode="#\ ##0.00\ [$Kz]" c16r2:formatcode2="#\ ##0.00\ [$Kz-pt-AO]" sourceLinked="1"/>
        <c:majorTickMark val="out"/>
        <c:minorTickMark val="none"/>
        <c:tickLblPos val="nextTo"/>
        <c:crossAx val="-589167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barChart>
        <c:barDir val="col"/>
        <c:grouping val="clustered"/>
        <c:varyColors val="0"/>
        <c:ser>
          <c:idx val="1"/>
          <c:order val="0"/>
          <c:tx>
            <c:strRef>
              <c:f>'Activos Correntes'!$K$4</c:f>
              <c:strCache>
                <c:ptCount val="1"/>
                <c:pt idx="0">
                  <c:v>Contas dos Activos Correntes - 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'Activos Correntes'!$K$5:$K$13</c:f>
              <c:strCache>
                <c:ptCount val="5"/>
                <c:pt idx="0">
                  <c:v>Existências</c:v>
                </c:pt>
                <c:pt idx="1">
                  <c:v>Contas a Receber</c:v>
                </c:pt>
                <c:pt idx="2">
                  <c:v>Disponibilidades</c:v>
                </c:pt>
                <c:pt idx="3">
                  <c:v>Outros activos correntes</c:v>
                </c:pt>
                <c:pt idx="4">
                  <c:v>Estado</c:v>
                </c:pt>
              </c:strCache>
            </c:strRef>
          </c:cat>
          <c:val>
            <c:numRef>
              <c:f>'Activos Correntes'!$L$5:$L$13</c:f>
              <c:numCache>
                <mc:AlternateContent xmlns:mc="http://schemas.openxmlformats.org/markup-compatibility/2006">
                  <mc:Choice Requires="c16r2">
                    <c16r2:formatcode2>#\ ##0.00\ [$Kz-pt-AO]</c16r2:formatcode2>
                  </mc:Choice>
                  <mc:Fallback>
                    <c:formatCode>#\ ##0.00\ [$Kz]</c:formatCode>
                  </mc:Fallback>
                </mc:AlternateContent>
                <c:ptCount val="9"/>
                <c:pt idx="0">
                  <c:v>0</c:v>
                </c:pt>
                <c:pt idx="1">
                  <c:v>1340212444.23</c:v>
                </c:pt>
                <c:pt idx="2">
                  <c:v>52657492.650000155</c:v>
                </c:pt>
                <c:pt idx="3">
                  <c:v>172223189.54999998</c:v>
                </c:pt>
                <c:pt idx="4">
                  <c:v>0</c:v>
                </c:pt>
                <c:pt idx="5">
                  <c:v>0</c:v>
                </c:pt>
                <c:pt idx="6">
                  <c:v>0</c:v>
                </c:pt>
                <c:pt idx="7">
                  <c:v>0</c:v>
                </c:pt>
                <c:pt idx="8">
                  <c:v>0</c:v>
                </c:pt>
              </c:numCache>
            </c:numRef>
          </c:val>
          <c:extLst>
            <c:ext xmlns:c16="http://schemas.microsoft.com/office/drawing/2014/chart" uri="{C3380CC4-5D6E-409C-BE32-E72D297353CC}">
              <c16:uniqueId val="{00000000-9882-4574-AE7B-15BF5F940316}"/>
            </c:ext>
          </c:extLst>
        </c:ser>
        <c:dLbls>
          <c:dLblPos val="outEnd"/>
          <c:showLegendKey val="0"/>
          <c:showVal val="1"/>
          <c:showCatName val="0"/>
          <c:showSerName val="0"/>
          <c:showPercent val="0"/>
          <c:showBubbleSize val="0"/>
        </c:dLbls>
        <c:gapWidth val="219"/>
        <c:overlap val="-27"/>
        <c:axId val="-589158528"/>
        <c:axId val="-589171584"/>
      </c:barChart>
      <c:catAx>
        <c:axId val="-589158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89171584"/>
        <c:crosses val="autoZero"/>
        <c:auto val="1"/>
        <c:lblAlgn val="ctr"/>
        <c:lblOffset val="100"/>
        <c:noMultiLvlLbl val="0"/>
      </c:catAx>
      <c:valAx>
        <c:axId val="-589171584"/>
        <c:scaling>
          <c:orientation val="minMax"/>
        </c:scaling>
        <c:delete val="1"/>
        <c:axPos val="l"/>
        <c:numFmt formatCode="#\ ##0.00\ [$Kz]" c16r2:formatcode2="#\ ##0.00\ [$Kz-pt-AO]" sourceLinked="1"/>
        <c:majorTickMark val="out"/>
        <c:minorTickMark val="none"/>
        <c:tickLblPos val="nextTo"/>
        <c:crossAx val="-589158528"/>
        <c:crosses val="autoZero"/>
        <c:crossBetween val="between"/>
      </c:valAx>
      <c:spPr>
        <a:solidFill>
          <a:schemeClr val="bg1"/>
        </a:solid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barChart>
        <c:barDir val="col"/>
        <c:grouping val="clustered"/>
        <c:varyColors val="0"/>
        <c:ser>
          <c:idx val="1"/>
          <c:order val="0"/>
          <c:tx>
            <c:strRef>
              <c:f>'Passivo Corrente'!$K$4</c:f>
              <c:strCache>
                <c:ptCount val="1"/>
                <c:pt idx="0">
                  <c:v>Contas do Passivo Corrente - 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'Passivo Corrente'!$K$5:$K$13</c:f>
              <c:strCache>
                <c:ptCount val="7"/>
                <c:pt idx="0">
                  <c:v>Contas a pagar</c:v>
                </c:pt>
                <c:pt idx="1">
                  <c:v>Participantes e Participadas</c:v>
                </c:pt>
                <c:pt idx="2">
                  <c:v>Pessoal</c:v>
                </c:pt>
                <c:pt idx="3">
                  <c:v>Empréstimos de Curto Prazo</c:v>
                </c:pt>
                <c:pt idx="4">
                  <c:v>Parte Correspondente dos Empréstimos de Médio e Longo Prazo</c:v>
                </c:pt>
                <c:pt idx="5">
                  <c:v>Estado</c:v>
                </c:pt>
                <c:pt idx="6">
                  <c:v>Outros Passivos Correntes</c:v>
                </c:pt>
              </c:strCache>
            </c:strRef>
          </c:cat>
          <c:val>
            <c:numRef>
              <c:f>'Passivo Corrente'!$L$5:$L$13</c:f>
              <c:numCache>
                <mc:AlternateContent xmlns:mc="http://schemas.openxmlformats.org/markup-compatibility/2006">
                  <mc:Choice Requires="c16r2">
                    <c16r2:formatcode2>#\ ##0.00\ [$Kz-pt-AO]</c16r2:formatcode2>
                  </mc:Choice>
                  <mc:Fallback>
                    <c:formatCode>#\ ##0.00\ [$Kz]</c:formatCode>
                  </mc:Fallback>
                </mc:AlternateContent>
                <c:ptCount val="9"/>
                <c:pt idx="0">
                  <c:v>1006980995.0899999</c:v>
                </c:pt>
                <c:pt idx="1">
                  <c:v>0</c:v>
                </c:pt>
                <c:pt idx="2">
                  <c:v>0</c:v>
                </c:pt>
                <c:pt idx="3">
                  <c:v>0</c:v>
                </c:pt>
                <c:pt idx="4">
                  <c:v>0</c:v>
                </c:pt>
                <c:pt idx="5">
                  <c:v>487794092.52000004</c:v>
                </c:pt>
                <c:pt idx="6">
                  <c:v>443261193.25</c:v>
                </c:pt>
                <c:pt idx="7">
                  <c:v>0</c:v>
                </c:pt>
                <c:pt idx="8">
                  <c:v>0</c:v>
                </c:pt>
              </c:numCache>
            </c:numRef>
          </c:val>
          <c:extLst>
            <c:ext xmlns:c16="http://schemas.microsoft.com/office/drawing/2014/chart" uri="{C3380CC4-5D6E-409C-BE32-E72D297353CC}">
              <c16:uniqueId val="{00000000-89CB-47E6-8E16-990361CFD4FB}"/>
            </c:ext>
          </c:extLst>
        </c:ser>
        <c:dLbls>
          <c:dLblPos val="outEnd"/>
          <c:showLegendKey val="0"/>
          <c:showVal val="1"/>
          <c:showCatName val="0"/>
          <c:showSerName val="0"/>
          <c:showPercent val="0"/>
          <c:showBubbleSize val="0"/>
        </c:dLbls>
        <c:gapWidth val="219"/>
        <c:overlap val="-27"/>
        <c:axId val="-589172672"/>
        <c:axId val="-589171040"/>
      </c:barChart>
      <c:catAx>
        <c:axId val="-589172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89171040"/>
        <c:crosses val="autoZero"/>
        <c:auto val="1"/>
        <c:lblAlgn val="ctr"/>
        <c:lblOffset val="100"/>
        <c:noMultiLvlLbl val="0"/>
      </c:catAx>
      <c:valAx>
        <c:axId val="-589171040"/>
        <c:scaling>
          <c:orientation val="minMax"/>
        </c:scaling>
        <c:delete val="1"/>
        <c:axPos val="l"/>
        <c:numFmt formatCode="#\ ##0.00\ [$Kz]" c16r2:formatcode2="#\ ##0.00\ [$Kz-pt-AO]" sourceLinked="1"/>
        <c:majorTickMark val="out"/>
        <c:minorTickMark val="none"/>
        <c:tickLblPos val="nextTo"/>
        <c:crossAx val="-589172672"/>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barChart>
        <c:barDir val="col"/>
        <c:grouping val="clustered"/>
        <c:varyColors val="0"/>
        <c:ser>
          <c:idx val="1"/>
          <c:order val="0"/>
          <c:tx>
            <c:strRef>
              <c:f>'Passivo Não Corrente'!$K$4</c:f>
              <c:strCache>
                <c:ptCount val="1"/>
                <c:pt idx="0">
                  <c:v>Contas do Passivo Não Corrente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'Passivo Não Corrente'!$K$5:$K$11</c:f>
              <c:strCache>
                <c:ptCount val="5"/>
                <c:pt idx="0">
                  <c:v>Empréstimos de médio e longo prazos</c:v>
                </c:pt>
                <c:pt idx="1">
                  <c:v>Impostos diferidos</c:v>
                </c:pt>
                <c:pt idx="2">
                  <c:v>Provisões para pensões</c:v>
                </c:pt>
                <c:pt idx="3">
                  <c:v>Provisões para outros riscos e encagos</c:v>
                </c:pt>
                <c:pt idx="4">
                  <c:v>Outros passivos não correntes</c:v>
                </c:pt>
              </c:strCache>
            </c:strRef>
          </c:cat>
          <c:val>
            <c:numRef>
              <c:f>'Passivo Não Corrente'!$L$5:$L$11</c:f>
              <c:numCache>
                <mc:AlternateContent xmlns:mc="http://schemas.openxmlformats.org/markup-compatibility/2006">
                  <mc:Choice Requires="c16r2">
                    <c16r2:formatcode2>#\ ##0.00\ [$Kz-pt-AO]</c16r2:formatcode2>
                  </mc:Choice>
                  <mc:Fallback>
                    <c:formatCode>#\ ##0.00\ [$Kz]</c:formatCode>
                  </mc:Fallback>
                </mc:AlternateContent>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DCB2-42A4-A3DE-7FFF6B444D67}"/>
            </c:ext>
          </c:extLst>
        </c:ser>
        <c:dLbls>
          <c:dLblPos val="outEnd"/>
          <c:showLegendKey val="0"/>
          <c:showVal val="1"/>
          <c:showCatName val="0"/>
          <c:showSerName val="0"/>
          <c:showPercent val="0"/>
          <c:showBubbleSize val="0"/>
        </c:dLbls>
        <c:gapWidth val="219"/>
        <c:overlap val="-27"/>
        <c:axId val="-589291808"/>
        <c:axId val="-589291264"/>
      </c:barChart>
      <c:catAx>
        <c:axId val="-589291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89291264"/>
        <c:crosses val="autoZero"/>
        <c:auto val="1"/>
        <c:lblAlgn val="ctr"/>
        <c:lblOffset val="100"/>
        <c:noMultiLvlLbl val="0"/>
      </c:catAx>
      <c:valAx>
        <c:axId val="-589291264"/>
        <c:scaling>
          <c:orientation val="minMax"/>
        </c:scaling>
        <c:delete val="1"/>
        <c:axPos val="l"/>
        <c:numFmt formatCode="#\ ##0.00\ [$Kz]" c16r2:formatcode2="#\ ##0.00\ [$Kz-pt-AO]" sourceLinked="1"/>
        <c:majorTickMark val="out"/>
        <c:minorTickMark val="none"/>
        <c:tickLblPos val="nextTo"/>
        <c:crossAx val="-589291808"/>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barChart>
        <c:barDir val="col"/>
        <c:grouping val="clustered"/>
        <c:varyColors val="0"/>
        <c:ser>
          <c:idx val="0"/>
          <c:order val="0"/>
          <c:tx>
            <c:strRef>
              <c:f>Gráficos!$L$35</c:f>
              <c:strCache>
                <c:ptCount val="1"/>
                <c:pt idx="0">
                  <c:v>Balanço Patrimonial</c:v>
                </c:pt>
              </c:strCache>
            </c:strRef>
          </c:tx>
          <c:spPr>
            <a:solidFill>
              <a:schemeClr val="accent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858-4AC6-ACD4-82F2775E967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858-4AC6-ACD4-82F2775E967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5-4858-4AC6-ACD4-82F2775E96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Gráficos!$L$36:$L$39</c:f>
              <c:strCache>
                <c:ptCount val="4"/>
                <c:pt idx="0">
                  <c:v>Activos Correntes (Bens e Direitos)</c:v>
                </c:pt>
                <c:pt idx="1">
                  <c:v>Activos Não Correntes </c:v>
                </c:pt>
                <c:pt idx="2">
                  <c:v>Passivo Corrente</c:v>
                </c:pt>
                <c:pt idx="3">
                  <c:v>Passivo Não Corrente</c:v>
                </c:pt>
              </c:strCache>
            </c:strRef>
          </c:cat>
          <c:val>
            <c:numRef>
              <c:f>Gráficos!$M$36:$M$39</c:f>
              <c:numCache>
                <c:formatCode>"R$"\ #\ ##0.00</c:formatCode>
                <c:ptCount val="4"/>
                <c:pt idx="0">
                  <c:v>1565093126.4300001</c:v>
                </c:pt>
                <c:pt idx="1">
                  <c:v>3444950457.0999999</c:v>
                </c:pt>
                <c:pt idx="2">
                  <c:v>1938036280.8599999</c:v>
                </c:pt>
                <c:pt idx="3">
                  <c:v>0</c:v>
                </c:pt>
              </c:numCache>
            </c:numRef>
          </c:val>
          <c:extLst>
            <c:ext xmlns:c16="http://schemas.microsoft.com/office/drawing/2014/chart" uri="{C3380CC4-5D6E-409C-BE32-E72D297353CC}">
              <c16:uniqueId val="{00000006-4858-4AC6-ACD4-82F2775E9679}"/>
            </c:ext>
          </c:extLst>
        </c:ser>
        <c:dLbls>
          <c:dLblPos val="outEnd"/>
          <c:showLegendKey val="0"/>
          <c:showVal val="1"/>
          <c:showCatName val="0"/>
          <c:showSerName val="0"/>
          <c:showPercent val="0"/>
          <c:showBubbleSize val="0"/>
        </c:dLbls>
        <c:gapWidth val="219"/>
        <c:overlap val="-27"/>
        <c:axId val="-442684976"/>
        <c:axId val="-442686608"/>
      </c:barChart>
      <c:catAx>
        <c:axId val="-44268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42686608"/>
        <c:crosses val="autoZero"/>
        <c:auto val="1"/>
        <c:lblAlgn val="ctr"/>
        <c:lblOffset val="100"/>
        <c:noMultiLvlLbl val="0"/>
      </c:catAx>
      <c:valAx>
        <c:axId val="-442686608"/>
        <c:scaling>
          <c:orientation val="minMax"/>
        </c:scaling>
        <c:delete val="1"/>
        <c:axPos val="l"/>
        <c:numFmt formatCode="&quot;R$&quot;\ #\ ##0.00" sourceLinked="1"/>
        <c:majorTickMark val="none"/>
        <c:minorTickMark val="none"/>
        <c:tickLblPos val="nextTo"/>
        <c:crossAx val="-442684976"/>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pieChart>
        <c:varyColors val="1"/>
        <c:ser>
          <c:idx val="0"/>
          <c:order val="0"/>
          <c:tx>
            <c:strRef>
              <c:f>Gráficos!$L$35</c:f>
              <c:strCache>
                <c:ptCount val="1"/>
                <c:pt idx="0">
                  <c:v>Balanço Patrimonial</c:v>
                </c:pt>
              </c:strCache>
            </c:strRef>
          </c:tx>
          <c:dPt>
            <c:idx val="0"/>
            <c:bubble3D val="0"/>
            <c:spPr>
              <a:solidFill>
                <a:schemeClr val="accent1"/>
              </a:solidFill>
              <a:ln>
                <a:noFill/>
              </a:ln>
              <a:effectLst/>
            </c:spPr>
            <c:extLst>
              <c:ext xmlns:c16="http://schemas.microsoft.com/office/drawing/2014/chart" uri="{C3380CC4-5D6E-409C-BE32-E72D297353CC}">
                <c16:uniqueId val="{00000001-F4C8-43DE-83C2-51DDAF3268F3}"/>
              </c:ext>
            </c:extLst>
          </c:dPt>
          <c:dPt>
            <c:idx val="1"/>
            <c:bubble3D val="0"/>
            <c:spPr>
              <a:solidFill>
                <a:schemeClr val="accent2"/>
              </a:solidFill>
              <a:ln>
                <a:noFill/>
              </a:ln>
              <a:effectLst/>
            </c:spPr>
            <c:extLst>
              <c:ext xmlns:c16="http://schemas.microsoft.com/office/drawing/2014/chart" uri="{C3380CC4-5D6E-409C-BE32-E72D297353CC}">
                <c16:uniqueId val="{00000003-F4C8-43DE-83C2-51DDAF3268F3}"/>
              </c:ext>
            </c:extLst>
          </c:dPt>
          <c:dPt>
            <c:idx val="2"/>
            <c:bubble3D val="0"/>
            <c:spPr>
              <a:solidFill>
                <a:schemeClr val="accent3"/>
              </a:solidFill>
              <a:ln>
                <a:noFill/>
              </a:ln>
              <a:effectLst/>
            </c:spPr>
            <c:extLst>
              <c:ext xmlns:c16="http://schemas.microsoft.com/office/drawing/2014/chart" uri="{C3380CC4-5D6E-409C-BE32-E72D297353CC}">
                <c16:uniqueId val="{00000005-F4C8-43DE-83C2-51DDAF3268F3}"/>
              </c:ext>
            </c:extLst>
          </c:dPt>
          <c:dPt>
            <c:idx val="3"/>
            <c:bubble3D val="0"/>
            <c:spPr>
              <a:solidFill>
                <a:schemeClr val="accent4"/>
              </a:solidFill>
              <a:ln>
                <a:noFill/>
              </a:ln>
              <a:effectLst/>
            </c:spPr>
            <c:extLst>
              <c:ext xmlns:c16="http://schemas.microsoft.com/office/drawing/2014/chart" uri="{C3380CC4-5D6E-409C-BE32-E72D297353CC}">
                <c16:uniqueId val="{00000007-F4C8-43DE-83C2-51DDAF3268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Gráficos!$L$36:$L$39</c:f>
              <c:strCache>
                <c:ptCount val="4"/>
                <c:pt idx="0">
                  <c:v>Activos Correntes (Bens e Direitos)</c:v>
                </c:pt>
                <c:pt idx="1">
                  <c:v>Activos Não Correntes </c:v>
                </c:pt>
                <c:pt idx="2">
                  <c:v>Passivo Corrente</c:v>
                </c:pt>
                <c:pt idx="3">
                  <c:v>Passivo Não Corrente</c:v>
                </c:pt>
              </c:strCache>
            </c:strRef>
          </c:cat>
          <c:val>
            <c:numRef>
              <c:f>Gráficos!$M$36:$M$39</c:f>
              <c:numCache>
                <c:formatCode>"R$"\ #\ ##0.00</c:formatCode>
                <c:ptCount val="4"/>
                <c:pt idx="0">
                  <c:v>1565093126.4300001</c:v>
                </c:pt>
                <c:pt idx="1">
                  <c:v>3444950457.0999999</c:v>
                </c:pt>
                <c:pt idx="2">
                  <c:v>1938036280.8599999</c:v>
                </c:pt>
                <c:pt idx="3">
                  <c:v>0</c:v>
                </c:pt>
              </c:numCache>
            </c:numRef>
          </c:val>
          <c:extLst>
            <c:ext xmlns:c16="http://schemas.microsoft.com/office/drawing/2014/chart" uri="{C3380CC4-5D6E-409C-BE32-E72D297353CC}">
              <c16:uniqueId val="{00000008-F4C8-43DE-83C2-51DDAF3268F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barChart>
        <c:barDir val="col"/>
        <c:grouping val="clustered"/>
        <c:varyColors val="0"/>
        <c:ser>
          <c:idx val="1"/>
          <c:order val="0"/>
          <c:tx>
            <c:strRef>
              <c:f>'Proveitos por Natureza'!$K$4</c:f>
              <c:strCache>
                <c:ptCount val="1"/>
                <c:pt idx="0">
                  <c:v>Contas de Proveitos e Ganhos por Natureza - 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'Proveitos por Natureza'!$K$5:$K$13</c:f>
              <c:strCache>
                <c:ptCount val="9"/>
                <c:pt idx="0">
                  <c:v>Vendas</c:v>
                </c:pt>
                <c:pt idx="1">
                  <c:v>Prestações de Serviço</c:v>
                </c:pt>
                <c:pt idx="2">
                  <c:v>Outros Proveitos Operacionais</c:v>
                </c:pt>
                <c:pt idx="3">
                  <c:v>Varição nos Produtos Acabados e Produtos em Vias de Fabrico</c:v>
                </c:pt>
                <c:pt idx="4">
                  <c:v>Trabalhos para a Própria Empresa</c:v>
                </c:pt>
                <c:pt idx="5">
                  <c:v>Proveitos e Ganhos Financeiros Gerais</c:v>
                </c:pt>
                <c:pt idx="6">
                  <c:v>Proveitos e Ganhos Financeiros em Susidiárias e Associadas</c:v>
                </c:pt>
                <c:pt idx="7">
                  <c:v>Outros Proveitos e Ganhos não Operacionais</c:v>
                </c:pt>
                <c:pt idx="8">
                  <c:v>Proveitos e Ganhos Extraordinários</c:v>
                </c:pt>
              </c:strCache>
            </c:strRef>
          </c:cat>
          <c:val>
            <c:numRef>
              <c:f>'Proveitos por Natureza'!$L$5:$L$13</c:f>
              <c:numCache>
                <mc:AlternateContent xmlns:mc="http://schemas.openxmlformats.org/markup-compatibility/2006">
                  <mc:Choice Requires="c16r2">
                    <c16r2:formatcode2>#\ ##0.00\ [$Kz-pt-AO]</c16r2:formatcode2>
                  </mc:Choice>
                  <mc:Fallback>
                    <c:formatCode>#\ ##0.00\ [$Kz]</c:formatCode>
                  </mc:Fallback>
                </mc:AlternateContent>
                <c:ptCount val="9"/>
                <c:pt idx="0">
                  <c:v>0</c:v>
                </c:pt>
                <c:pt idx="1">
                  <c:v>1769212327.72</c:v>
                </c:pt>
                <c:pt idx="2">
                  <c:v>3062918878.1999998</c:v>
                </c:pt>
                <c:pt idx="3">
                  <c:v>0</c:v>
                </c:pt>
                <c:pt idx="4">
                  <c:v>0</c:v>
                </c:pt>
                <c:pt idx="5">
                  <c:v>10089891.130000001</c:v>
                </c:pt>
                <c:pt idx="6">
                  <c:v>0</c:v>
                </c:pt>
                <c:pt idx="7">
                  <c:v>25000000</c:v>
                </c:pt>
                <c:pt idx="8">
                  <c:v>0</c:v>
                </c:pt>
              </c:numCache>
            </c:numRef>
          </c:val>
          <c:extLst>
            <c:ext xmlns:c16="http://schemas.microsoft.com/office/drawing/2014/chart" uri="{C3380CC4-5D6E-409C-BE32-E72D297353CC}">
              <c16:uniqueId val="{00000000-50D0-46B1-A2D7-B2878B8F4373}"/>
            </c:ext>
          </c:extLst>
        </c:ser>
        <c:dLbls>
          <c:dLblPos val="outEnd"/>
          <c:showLegendKey val="0"/>
          <c:showVal val="1"/>
          <c:showCatName val="0"/>
          <c:showSerName val="0"/>
          <c:showPercent val="0"/>
          <c:showBubbleSize val="0"/>
        </c:dLbls>
        <c:gapWidth val="219"/>
        <c:overlap val="-27"/>
        <c:axId val="-442696400"/>
        <c:axId val="-442689872"/>
      </c:barChart>
      <c:catAx>
        <c:axId val="-442696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42689872"/>
        <c:crosses val="autoZero"/>
        <c:auto val="1"/>
        <c:lblAlgn val="ctr"/>
        <c:lblOffset val="100"/>
        <c:noMultiLvlLbl val="0"/>
      </c:catAx>
      <c:valAx>
        <c:axId val="-442689872"/>
        <c:scaling>
          <c:orientation val="minMax"/>
        </c:scaling>
        <c:delete val="1"/>
        <c:axPos val="l"/>
        <c:numFmt formatCode="#\ ##0.00\ [$Kz]" c16r2:formatcode2="#\ ##0.00\ [$Kz-pt-AO]" sourceLinked="1"/>
        <c:majorTickMark val="out"/>
        <c:minorTickMark val="none"/>
        <c:tickLblPos val="nextTo"/>
        <c:crossAx val="-442696400"/>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barChart>
        <c:barDir val="col"/>
        <c:grouping val="clustered"/>
        <c:varyColors val="0"/>
        <c:ser>
          <c:idx val="1"/>
          <c:order val="0"/>
          <c:tx>
            <c:strRef>
              <c:f>'Custos por Natureza'!$K$4</c:f>
              <c:strCache>
                <c:ptCount val="1"/>
                <c:pt idx="0">
                  <c:v>Custos e Perdas por Natureza - 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'Custos por Natureza'!$K$5:$K$13</c:f>
              <c:strCache>
                <c:ptCount val="8"/>
                <c:pt idx="0">
                  <c:v>Custo das Mercadorias Vendidas e das Matérias-primas Consumidas</c:v>
                </c:pt>
                <c:pt idx="1">
                  <c:v>Custos com o Pessoal</c:v>
                </c:pt>
                <c:pt idx="2">
                  <c:v>Amortizações do Exercício</c:v>
                </c:pt>
                <c:pt idx="3">
                  <c:v>Outros Custos e Perdas Operacionais</c:v>
                </c:pt>
                <c:pt idx="4">
                  <c:v>Custos e Perdas Financeiras Gerais</c:v>
                </c:pt>
                <c:pt idx="5">
                  <c:v>Custos e Perdas Financeiras para Filiais e Associadas</c:v>
                </c:pt>
                <c:pt idx="6">
                  <c:v>Outros Custos e Perdas não Operacionais</c:v>
                </c:pt>
                <c:pt idx="7">
                  <c:v>Custos e Perdas Extraordinários</c:v>
                </c:pt>
              </c:strCache>
            </c:strRef>
          </c:cat>
          <c:val>
            <c:numRef>
              <c:f>'Custos por Natureza'!$L$5:$L$13</c:f>
              <c:numCache>
                <mc:AlternateContent xmlns:mc="http://schemas.openxmlformats.org/markup-compatibility/2006">
                  <mc:Choice Requires="c16r2">
                    <c16r2:formatcode2>#\ ##0.00\ [$Kz-pt-AO]</c16r2:formatcode2>
                  </mc:Choice>
                  <mc:Fallback>
                    <c:formatCode>#\ ##0.00\ [$Kz]</c:formatCode>
                  </mc:Fallback>
                </mc:AlternateContent>
                <c:ptCount val="9"/>
                <c:pt idx="0">
                  <c:v>179684780.97</c:v>
                </c:pt>
                <c:pt idx="1">
                  <c:v>3317851310.2799997</c:v>
                </c:pt>
                <c:pt idx="2">
                  <c:v>508397950.43000001</c:v>
                </c:pt>
                <c:pt idx="3">
                  <c:v>1500182672.03</c:v>
                </c:pt>
                <c:pt idx="4">
                  <c:v>15878780.16</c:v>
                </c:pt>
                <c:pt idx="5">
                  <c:v>0</c:v>
                </c:pt>
                <c:pt idx="6">
                  <c:v>1019425796.13</c:v>
                </c:pt>
                <c:pt idx="7">
                  <c:v>0</c:v>
                </c:pt>
                <c:pt idx="8">
                  <c:v>0</c:v>
                </c:pt>
              </c:numCache>
            </c:numRef>
          </c:val>
          <c:extLst>
            <c:ext xmlns:c16="http://schemas.microsoft.com/office/drawing/2014/chart" uri="{C3380CC4-5D6E-409C-BE32-E72D297353CC}">
              <c16:uniqueId val="{00000000-8C1E-4A8F-A21D-1DCDAC10EA02}"/>
            </c:ext>
          </c:extLst>
        </c:ser>
        <c:dLbls>
          <c:dLblPos val="outEnd"/>
          <c:showLegendKey val="0"/>
          <c:showVal val="1"/>
          <c:showCatName val="0"/>
          <c:showSerName val="0"/>
          <c:showPercent val="0"/>
          <c:showBubbleSize val="0"/>
        </c:dLbls>
        <c:gapWidth val="219"/>
        <c:overlap val="-27"/>
        <c:axId val="-442698576"/>
        <c:axId val="-442698032"/>
      </c:barChart>
      <c:catAx>
        <c:axId val="-442698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42698032"/>
        <c:crosses val="autoZero"/>
        <c:auto val="1"/>
        <c:lblAlgn val="ctr"/>
        <c:lblOffset val="100"/>
        <c:noMultiLvlLbl val="0"/>
      </c:catAx>
      <c:valAx>
        <c:axId val="-442698032"/>
        <c:scaling>
          <c:orientation val="minMax"/>
        </c:scaling>
        <c:delete val="1"/>
        <c:axPos val="l"/>
        <c:numFmt formatCode="#\ ##0.00\ [$Kz]" c16r2:formatcode2="#\ ##0.00\ [$Kz-pt-AO]" sourceLinked="1"/>
        <c:majorTickMark val="out"/>
        <c:minorTickMark val="none"/>
        <c:tickLblPos val="nextTo"/>
        <c:crossAx val="-442698576"/>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barChart>
        <c:barDir val="col"/>
        <c:grouping val="clustered"/>
        <c:varyColors val="0"/>
        <c:ser>
          <c:idx val="0"/>
          <c:order val="0"/>
          <c:tx>
            <c:strRef>
              <c:f>DRE!$C$16</c:f>
              <c:strCache>
                <c:ptCount val="1"/>
                <c:pt idx="0">
                  <c:v>Demonstração do Resultado do Exercício (DRE)</c:v>
                </c:pt>
              </c:strCache>
            </c:strRef>
          </c:tx>
          <c:spPr>
            <a:solidFill>
              <a:schemeClr val="accent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F103-434E-B74F-BEAC4D5EE26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F103-434E-B74F-BEAC4D5EE2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DRE!$C$17:$D$18</c:f>
              <c:strCache>
                <c:ptCount val="2"/>
                <c:pt idx="0">
                  <c:v>Proveitos por Natureza</c:v>
                </c:pt>
                <c:pt idx="1">
                  <c:v>Custos por Natureza</c:v>
                </c:pt>
              </c:strCache>
            </c:strRef>
          </c:cat>
          <c:val>
            <c:numRef>
              <c:f>DRE!$E$17:$E$18</c:f>
              <c:numCache>
                <mc:AlternateContent xmlns:mc="http://schemas.openxmlformats.org/markup-compatibility/2006">
                  <mc:Choice Requires="c16r2">
                    <c16r2:formatcode2>#\ ##0.00\ [$Kz-pt-AO]</c16r2:formatcode2>
                  </mc:Choice>
                  <mc:Fallback>
                    <c:formatCode>#\ ##0.00\ [$Kz]</c:formatCode>
                  </mc:Fallback>
                </mc:AlternateContent>
                <c:ptCount val="2"/>
                <c:pt idx="0">
                  <c:v>4867221097.0500002</c:v>
                </c:pt>
                <c:pt idx="1">
                  <c:v>6541421289.999999</c:v>
                </c:pt>
              </c:numCache>
            </c:numRef>
          </c:val>
          <c:extLst>
            <c:ext xmlns:c16="http://schemas.microsoft.com/office/drawing/2014/chart" uri="{C3380CC4-5D6E-409C-BE32-E72D297353CC}">
              <c16:uniqueId val="{00000004-F103-434E-B74F-BEAC4D5EE269}"/>
            </c:ext>
          </c:extLst>
        </c:ser>
        <c:dLbls>
          <c:dLblPos val="outEnd"/>
          <c:showLegendKey val="0"/>
          <c:showVal val="1"/>
          <c:showCatName val="0"/>
          <c:showSerName val="0"/>
          <c:showPercent val="0"/>
          <c:showBubbleSize val="0"/>
        </c:dLbls>
        <c:gapWidth val="219"/>
        <c:overlap val="-27"/>
        <c:axId val="-442692048"/>
        <c:axId val="-442697488"/>
      </c:barChart>
      <c:catAx>
        <c:axId val="-44269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42697488"/>
        <c:crosses val="autoZero"/>
        <c:auto val="1"/>
        <c:lblAlgn val="ctr"/>
        <c:lblOffset val="100"/>
        <c:noMultiLvlLbl val="0"/>
      </c:catAx>
      <c:valAx>
        <c:axId val="-442697488"/>
        <c:scaling>
          <c:orientation val="minMax"/>
        </c:scaling>
        <c:delete val="1"/>
        <c:axPos val="l"/>
        <c:numFmt formatCode="#\ ##0.00\ [$Kz]" c16r2:formatcode2="#\ ##0.00\ [$Kz-pt-AO]" sourceLinked="1"/>
        <c:majorTickMark val="none"/>
        <c:minorTickMark val="none"/>
        <c:tickLblPos val="nextTo"/>
        <c:crossAx val="-442692048"/>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pieChart>
        <c:varyColors val="1"/>
        <c:ser>
          <c:idx val="0"/>
          <c:order val="0"/>
          <c:tx>
            <c:strRef>
              <c:f>DRE!$C$16</c:f>
              <c:strCache>
                <c:ptCount val="1"/>
                <c:pt idx="0">
                  <c:v>Demonstração do Resultado do Exercício (DRE)</c:v>
                </c:pt>
              </c:strCache>
            </c:strRef>
          </c:tx>
          <c:dPt>
            <c:idx val="0"/>
            <c:bubble3D val="0"/>
            <c:spPr>
              <a:solidFill>
                <a:schemeClr val="accent1"/>
              </a:solidFill>
              <a:ln>
                <a:noFill/>
              </a:ln>
              <a:effectLst/>
            </c:spPr>
            <c:extLst>
              <c:ext xmlns:c16="http://schemas.microsoft.com/office/drawing/2014/chart" uri="{C3380CC4-5D6E-409C-BE32-E72D297353CC}">
                <c16:uniqueId val="{00000001-66C4-48F5-A9D4-72D3A4E81559}"/>
              </c:ext>
            </c:extLst>
          </c:dPt>
          <c:dPt>
            <c:idx val="1"/>
            <c:bubble3D val="0"/>
            <c:spPr>
              <a:solidFill>
                <a:schemeClr val="accent2"/>
              </a:solidFill>
              <a:ln>
                <a:noFill/>
              </a:ln>
              <a:effectLst/>
            </c:spPr>
            <c:extLst>
              <c:ext xmlns:c16="http://schemas.microsoft.com/office/drawing/2014/chart" uri="{C3380CC4-5D6E-409C-BE32-E72D297353CC}">
                <c16:uniqueId val="{00000003-66C4-48F5-A9D4-72D3A4E81559}"/>
              </c:ext>
            </c:extLst>
          </c:dPt>
          <c:dPt>
            <c:idx val="2"/>
            <c:bubble3D val="0"/>
            <c:spPr>
              <a:solidFill>
                <a:schemeClr val="accent3"/>
              </a:solidFill>
              <a:ln>
                <a:noFill/>
              </a:ln>
              <a:effectLst/>
            </c:spPr>
            <c:extLst>
              <c:ext xmlns:c16="http://schemas.microsoft.com/office/drawing/2014/chart" uri="{C3380CC4-5D6E-409C-BE32-E72D297353CC}">
                <c16:uniqueId val="{00000005-66C4-48F5-A9D4-72D3A4E81559}"/>
              </c:ext>
            </c:extLst>
          </c:dPt>
          <c:dPt>
            <c:idx val="3"/>
            <c:bubble3D val="0"/>
            <c:spPr>
              <a:solidFill>
                <a:schemeClr val="accent4"/>
              </a:solidFill>
              <a:ln>
                <a:noFill/>
              </a:ln>
              <a:effectLst/>
            </c:spPr>
            <c:extLst>
              <c:ext xmlns:c16="http://schemas.microsoft.com/office/drawing/2014/chart" uri="{C3380CC4-5D6E-409C-BE32-E72D297353CC}">
                <c16:uniqueId val="{00000007-66C4-48F5-A9D4-72D3A4E815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DRE!$C$17:$D$18</c:f>
              <c:strCache>
                <c:ptCount val="2"/>
                <c:pt idx="0">
                  <c:v>Proveitos por Natureza</c:v>
                </c:pt>
                <c:pt idx="1">
                  <c:v>Custos por Natureza</c:v>
                </c:pt>
              </c:strCache>
            </c:strRef>
          </c:cat>
          <c:val>
            <c:numRef>
              <c:f>DRE!$E$17:$E$18</c:f>
              <c:numCache>
                <mc:AlternateContent xmlns:mc="http://schemas.openxmlformats.org/markup-compatibility/2006">
                  <mc:Choice Requires="c16r2">
                    <c16r2:formatcode2>#\ ##0.00\ [$Kz-pt-AO]</c16r2:formatcode2>
                  </mc:Choice>
                  <mc:Fallback>
                    <c:formatCode>#\ ##0.00\ [$Kz]</c:formatCode>
                  </mc:Fallback>
                </mc:AlternateContent>
                <c:ptCount val="2"/>
                <c:pt idx="0">
                  <c:v>4867221097.0500002</c:v>
                </c:pt>
                <c:pt idx="1">
                  <c:v>6541421289.999999</c:v>
                </c:pt>
              </c:numCache>
            </c:numRef>
          </c:val>
          <c:extLst>
            <c:ext xmlns:c16="http://schemas.microsoft.com/office/drawing/2014/chart" uri="{C3380CC4-5D6E-409C-BE32-E72D297353CC}">
              <c16:uniqueId val="{00000008-66C4-48F5-A9D4-72D3A4E815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'Activos Correntes'!$K$4</c:f>
              <c:strCache>
                <c:ptCount val="1"/>
                <c:pt idx="0">
                  <c:v>Contas dos Activos Correntes -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'Activos Correntes'!$M$5:$M$13</c:f>
              <c:numCache>
                <c:formatCode>0.00%</c:formatCode>
                <c:ptCount val="9"/>
                <c:pt idx="0">
                  <c:v>0</c:v>
                </c:pt>
                <c:pt idx="1">
                  <c:v>0.85631482344251542</c:v>
                </c:pt>
                <c:pt idx="2">
                  <c:v>3.3644958092757492E-2</c:v>
                </c:pt>
                <c:pt idx="3">
                  <c:v>0.11004021846472711</c:v>
                </c:pt>
                <c:pt idx="4">
                  <c:v>0</c:v>
                </c:pt>
                <c:pt idx="5">
                  <c:v>0</c:v>
                </c:pt>
                <c:pt idx="6">
                  <c:v>0</c:v>
                </c:pt>
                <c:pt idx="7">
                  <c:v>0</c:v>
                </c:pt>
                <c:pt idx="8">
                  <c:v>0</c:v>
                </c:pt>
              </c:numCache>
            </c:numRef>
          </c:val>
          <c:smooth val="0"/>
          <c:extLst>
            <c:ext xmlns:c16="http://schemas.microsoft.com/office/drawing/2014/chart" uri="{C3380CC4-5D6E-409C-BE32-E72D297353CC}">
              <c16:uniqueId val="{00000000-7C82-40BE-B93A-C55B368BDAB8}"/>
            </c:ext>
          </c:extLst>
        </c:ser>
        <c:dLbls>
          <c:dLblPos val="t"/>
          <c:showLegendKey val="0"/>
          <c:showVal val="1"/>
          <c:showCatName val="0"/>
          <c:showSerName val="0"/>
          <c:showPercent val="0"/>
          <c:showBubbleSize val="0"/>
        </c:dLbls>
        <c:marker val="1"/>
        <c:smooth val="0"/>
        <c:axId val="-442694224"/>
        <c:axId val="-442688784"/>
      </c:lineChart>
      <c:catAx>
        <c:axId val="-442694224"/>
        <c:scaling>
          <c:orientation val="minMax"/>
        </c:scaling>
        <c:delete val="1"/>
        <c:axPos val="b"/>
        <c:majorTickMark val="none"/>
        <c:minorTickMark val="none"/>
        <c:tickLblPos val="nextTo"/>
        <c:crossAx val="-442688784"/>
        <c:crosses val="autoZero"/>
        <c:auto val="1"/>
        <c:lblAlgn val="ctr"/>
        <c:lblOffset val="100"/>
        <c:noMultiLvlLbl val="0"/>
      </c:catAx>
      <c:valAx>
        <c:axId val="-442688784"/>
        <c:scaling>
          <c:orientation val="minMax"/>
        </c:scaling>
        <c:delete val="1"/>
        <c:axPos val="l"/>
        <c:numFmt formatCode="0.00%" sourceLinked="1"/>
        <c:majorTickMark val="none"/>
        <c:minorTickMark val="none"/>
        <c:tickLblPos val="nextTo"/>
        <c:crossAx val="-442694224"/>
        <c:crosses val="autoZero"/>
        <c:crossBetween val="between"/>
      </c:valAx>
      <c:spPr>
        <a:solidFill>
          <a:schemeClr val="bg1"/>
        </a:solid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'Activos Não Correntes'!$K$4</c:f>
              <c:strCache>
                <c:ptCount val="1"/>
                <c:pt idx="0">
                  <c:v>Activos Não Correntes -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'Activos Não Correntes'!$M$5:$M$13</c:f>
              <c:numCache>
                <c:formatCode>0.00%</c:formatCode>
                <c:ptCount val="9"/>
                <c:pt idx="0">
                  <c:v>0.99388180191777187</c:v>
                </c:pt>
                <c:pt idx="1">
                  <c:v>6.1181980822280985E-3</c:v>
                </c:pt>
                <c:pt idx="2">
                  <c:v>0</c:v>
                </c:pt>
                <c:pt idx="3">
                  <c:v>0</c:v>
                </c:pt>
                <c:pt idx="4">
                  <c:v>0</c:v>
                </c:pt>
                <c:pt idx="5">
                  <c:v>0</c:v>
                </c:pt>
                <c:pt idx="6">
                  <c:v>0</c:v>
                </c:pt>
              </c:numCache>
            </c:numRef>
          </c:val>
          <c:smooth val="0"/>
          <c:extLst>
            <c:ext xmlns:c16="http://schemas.microsoft.com/office/drawing/2014/chart" uri="{C3380CC4-5D6E-409C-BE32-E72D297353CC}">
              <c16:uniqueId val="{00000000-7FC2-4DDD-86EB-7CCDF74864F9}"/>
            </c:ext>
          </c:extLst>
        </c:ser>
        <c:dLbls>
          <c:dLblPos val="t"/>
          <c:showLegendKey val="0"/>
          <c:showVal val="1"/>
          <c:showCatName val="0"/>
          <c:showSerName val="0"/>
          <c:showPercent val="0"/>
          <c:showBubbleSize val="0"/>
        </c:dLbls>
        <c:marker val="1"/>
        <c:smooth val="0"/>
        <c:axId val="-442687696"/>
        <c:axId val="-442690960"/>
      </c:lineChart>
      <c:catAx>
        <c:axId val="-442687696"/>
        <c:scaling>
          <c:orientation val="minMax"/>
        </c:scaling>
        <c:delete val="1"/>
        <c:axPos val="b"/>
        <c:majorTickMark val="none"/>
        <c:minorTickMark val="none"/>
        <c:tickLblPos val="nextTo"/>
        <c:crossAx val="-442690960"/>
        <c:crosses val="autoZero"/>
        <c:auto val="1"/>
        <c:lblAlgn val="ctr"/>
        <c:lblOffset val="100"/>
        <c:noMultiLvlLbl val="0"/>
      </c:catAx>
      <c:valAx>
        <c:axId val="-442690960"/>
        <c:scaling>
          <c:orientation val="minMax"/>
        </c:scaling>
        <c:delete val="1"/>
        <c:axPos val="l"/>
        <c:numFmt formatCode="0.00%" sourceLinked="1"/>
        <c:majorTickMark val="none"/>
        <c:minorTickMark val="none"/>
        <c:tickLblPos val="nextTo"/>
        <c:crossAx val="-442687696"/>
        <c:crosses val="autoZero"/>
        <c:crossBetween val="between"/>
      </c:valAx>
      <c:spPr>
        <a:solidFill>
          <a:schemeClr val="bg1"/>
        </a:solid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'Passivo Corrente'!$K$4</c:f>
              <c:strCache>
                <c:ptCount val="1"/>
                <c:pt idx="0">
                  <c:v>Contas do Passivo Corrente - 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'Passivo Corrente'!$M$5:$M$13</c:f>
              <c:numCache>
                <c:formatCode>0.00%</c:formatCode>
                <c:ptCount val="9"/>
                <c:pt idx="0">
                  <c:v>-394.4077329478211</c:v>
                </c:pt>
                <c:pt idx="1">
                  <c:v>0</c:v>
                </c:pt>
                <c:pt idx="2">
                  <c:v>0</c:v>
                </c:pt>
                <c:pt idx="3">
                  <c:v>0</c:v>
                </c:pt>
                <c:pt idx="4">
                  <c:v>0</c:v>
                </c:pt>
                <c:pt idx="5">
                  <c:v>-191.05600117006966</c:v>
                </c:pt>
                <c:pt idx="6">
                  <c:v>-173.61364632095496</c:v>
                </c:pt>
                <c:pt idx="7">
                  <c:v>0</c:v>
                </c:pt>
                <c:pt idx="8">
                  <c:v>0</c:v>
                </c:pt>
              </c:numCache>
            </c:numRef>
          </c:val>
          <c:smooth val="0"/>
          <c:extLst>
            <c:ext xmlns:c16="http://schemas.microsoft.com/office/drawing/2014/chart" uri="{C3380CC4-5D6E-409C-BE32-E72D297353CC}">
              <c16:uniqueId val="{00000000-FF6F-4B31-8A8A-20363D285C21}"/>
            </c:ext>
          </c:extLst>
        </c:ser>
        <c:dLbls>
          <c:dLblPos val="t"/>
          <c:showLegendKey val="0"/>
          <c:showVal val="1"/>
          <c:showCatName val="0"/>
          <c:showSerName val="0"/>
          <c:showPercent val="0"/>
          <c:showBubbleSize val="0"/>
        </c:dLbls>
        <c:marker val="1"/>
        <c:smooth val="0"/>
        <c:axId val="-441299712"/>
        <c:axId val="-441287744"/>
      </c:lineChart>
      <c:catAx>
        <c:axId val="-441299712"/>
        <c:scaling>
          <c:orientation val="minMax"/>
        </c:scaling>
        <c:delete val="1"/>
        <c:axPos val="b"/>
        <c:majorTickMark val="none"/>
        <c:minorTickMark val="none"/>
        <c:tickLblPos val="nextTo"/>
        <c:crossAx val="-441287744"/>
        <c:crosses val="autoZero"/>
        <c:auto val="1"/>
        <c:lblAlgn val="ctr"/>
        <c:lblOffset val="100"/>
        <c:noMultiLvlLbl val="0"/>
      </c:catAx>
      <c:valAx>
        <c:axId val="-441287744"/>
        <c:scaling>
          <c:orientation val="minMax"/>
        </c:scaling>
        <c:delete val="1"/>
        <c:axPos val="l"/>
        <c:numFmt formatCode="0.00%" sourceLinked="1"/>
        <c:majorTickMark val="none"/>
        <c:minorTickMark val="none"/>
        <c:tickLblPos val="nextTo"/>
        <c:crossAx val="-441299712"/>
        <c:crosses val="autoZero"/>
        <c:crossBetween val="between"/>
      </c:valAx>
      <c:spPr>
        <a:solidFill>
          <a:schemeClr val="bg1"/>
        </a:solid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'Passivo Não Corrente'!$K$4</c:f>
              <c:strCache>
                <c:ptCount val="1"/>
                <c:pt idx="0">
                  <c:v>Contas do Passivo Não Corrente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'Passivo Não Corrente'!$M$5:$M$11</c:f>
              <c:numCache>
                <c:formatCode>0.00%</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0-69C9-4298-BB49-96C209182BF4}"/>
            </c:ext>
          </c:extLst>
        </c:ser>
        <c:dLbls>
          <c:dLblPos val="t"/>
          <c:showLegendKey val="0"/>
          <c:showVal val="1"/>
          <c:showCatName val="0"/>
          <c:showSerName val="0"/>
          <c:showPercent val="0"/>
          <c:showBubbleSize val="0"/>
        </c:dLbls>
        <c:marker val="1"/>
        <c:smooth val="0"/>
        <c:axId val="-441298080"/>
        <c:axId val="-441301888"/>
      </c:lineChart>
      <c:catAx>
        <c:axId val="-441298080"/>
        <c:scaling>
          <c:orientation val="minMax"/>
        </c:scaling>
        <c:delete val="1"/>
        <c:axPos val="b"/>
        <c:majorTickMark val="none"/>
        <c:minorTickMark val="none"/>
        <c:tickLblPos val="nextTo"/>
        <c:crossAx val="-441301888"/>
        <c:crosses val="autoZero"/>
        <c:auto val="1"/>
        <c:lblAlgn val="ctr"/>
        <c:lblOffset val="100"/>
        <c:noMultiLvlLbl val="0"/>
      </c:catAx>
      <c:valAx>
        <c:axId val="-441301888"/>
        <c:scaling>
          <c:orientation val="minMax"/>
        </c:scaling>
        <c:delete val="1"/>
        <c:axPos val="l"/>
        <c:numFmt formatCode="0.00%" sourceLinked="1"/>
        <c:majorTickMark val="none"/>
        <c:minorTickMark val="none"/>
        <c:tickLblPos val="nextTo"/>
        <c:crossAx val="-441298080"/>
        <c:crosses val="autoZero"/>
        <c:crossBetween val="between"/>
      </c:valAx>
      <c:spPr>
        <a:solidFill>
          <a:schemeClr val="bg1"/>
        </a:solid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Gráficos!$L$35</c:f>
              <c:strCache>
                <c:ptCount val="1"/>
                <c:pt idx="0">
                  <c:v>Balanço Patrimonial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val>
            <c:numRef>
              <c:f>Gráficos!$N$36:$N$39</c:f>
              <c:numCache>
                <c:formatCode>0.00%</c:formatCode>
                <c:ptCount val="4"/>
                <c:pt idx="0">
                  <c:v>0.22525548885114982</c:v>
                </c:pt>
                <c:pt idx="1">
                  <c:v>0.49581330732191381</c:v>
                </c:pt>
                <c:pt idx="2">
                  <c:v>0.27893120382693642</c:v>
                </c:pt>
                <c:pt idx="3">
                  <c:v>0</c:v>
                </c:pt>
              </c:numCache>
            </c:numRef>
          </c:val>
          <c:smooth val="0"/>
          <c:extLst>
            <c:ext xmlns:c16="http://schemas.microsoft.com/office/drawing/2014/chart" uri="{C3380CC4-5D6E-409C-BE32-E72D297353CC}">
              <c16:uniqueId val="{00000000-A9E5-46DA-A616-092A135B5C38}"/>
            </c:ext>
          </c:extLst>
        </c:ser>
        <c:dLbls>
          <c:dLblPos val="t"/>
          <c:showLegendKey val="0"/>
          <c:showVal val="1"/>
          <c:showCatName val="0"/>
          <c:showSerName val="0"/>
          <c:showPercent val="0"/>
          <c:showBubbleSize val="0"/>
        </c:dLbls>
        <c:marker val="1"/>
        <c:smooth val="0"/>
        <c:axId val="-441297536"/>
        <c:axId val="-441302432"/>
      </c:lineChart>
      <c:catAx>
        <c:axId val="-441297536"/>
        <c:scaling>
          <c:orientation val="minMax"/>
        </c:scaling>
        <c:delete val="1"/>
        <c:axPos val="b"/>
        <c:majorTickMark val="none"/>
        <c:minorTickMark val="none"/>
        <c:tickLblPos val="nextTo"/>
        <c:crossAx val="-441302432"/>
        <c:crosses val="autoZero"/>
        <c:auto val="1"/>
        <c:lblAlgn val="ctr"/>
        <c:lblOffset val="100"/>
        <c:noMultiLvlLbl val="0"/>
      </c:catAx>
      <c:valAx>
        <c:axId val="-441302432"/>
        <c:scaling>
          <c:orientation val="minMax"/>
        </c:scaling>
        <c:delete val="1"/>
        <c:axPos val="l"/>
        <c:numFmt formatCode="0.00%" sourceLinked="1"/>
        <c:majorTickMark val="none"/>
        <c:minorTickMark val="none"/>
        <c:tickLblPos val="nextTo"/>
        <c:crossAx val="-441297536"/>
        <c:crosses val="autoZero"/>
        <c:crossBetween val="between"/>
      </c:valAx>
      <c:spPr>
        <a:solidFill>
          <a:schemeClr val="bg1"/>
        </a:solid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Gráficos!$L$35</c:f>
              <c:strCache>
                <c:ptCount val="1"/>
                <c:pt idx="0">
                  <c:v>Balanço Patrimonial</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1EF5-493F-8973-C1604B145D7D}"/>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3-1EF5-493F-8973-C1604B145D7D}"/>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5-1EF5-493F-8973-C1604B145D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val>
            <c:numRef>
              <c:f>Gráficos!$N$36:$N$39</c:f>
              <c:numCache>
                <c:formatCode>0.00%</c:formatCode>
                <c:ptCount val="4"/>
                <c:pt idx="0">
                  <c:v>0.22525548885114982</c:v>
                </c:pt>
                <c:pt idx="1">
                  <c:v>0.49581330732191381</c:v>
                </c:pt>
                <c:pt idx="2">
                  <c:v>0.27893120382693642</c:v>
                </c:pt>
                <c:pt idx="3">
                  <c:v>0</c:v>
                </c:pt>
              </c:numCache>
            </c:numRef>
          </c:val>
          <c:extLst>
            <c:ext xmlns:c16="http://schemas.microsoft.com/office/drawing/2014/chart" uri="{C3380CC4-5D6E-409C-BE32-E72D297353CC}">
              <c16:uniqueId val="{00000006-1EF5-493F-8973-C1604B145D7D}"/>
            </c:ext>
          </c:extLst>
        </c:ser>
        <c:dLbls>
          <c:showLegendKey val="0"/>
          <c:showVal val="1"/>
          <c:showCatName val="0"/>
          <c:showSerName val="0"/>
          <c:showPercent val="0"/>
          <c:showBubbleSize val="0"/>
        </c:dLbls>
        <c:gapWidth val="150"/>
        <c:axId val="-441290464"/>
        <c:axId val="-441288288"/>
      </c:barChart>
      <c:catAx>
        <c:axId val="-441290464"/>
        <c:scaling>
          <c:orientation val="minMax"/>
        </c:scaling>
        <c:delete val="1"/>
        <c:axPos val="b"/>
        <c:majorTickMark val="none"/>
        <c:minorTickMark val="none"/>
        <c:tickLblPos val="nextTo"/>
        <c:crossAx val="-441288288"/>
        <c:crosses val="autoZero"/>
        <c:auto val="1"/>
        <c:lblAlgn val="ctr"/>
        <c:lblOffset val="100"/>
        <c:noMultiLvlLbl val="0"/>
      </c:catAx>
      <c:valAx>
        <c:axId val="-441288288"/>
        <c:scaling>
          <c:orientation val="minMax"/>
        </c:scaling>
        <c:delete val="1"/>
        <c:axPos val="l"/>
        <c:numFmt formatCode="0.00%" sourceLinked="1"/>
        <c:majorTickMark val="none"/>
        <c:minorTickMark val="none"/>
        <c:tickLblPos val="nextTo"/>
        <c:crossAx val="-441290464"/>
        <c:crosses val="autoZero"/>
        <c:crossBetween val="between"/>
      </c:valAx>
      <c:spPr>
        <a:solidFill>
          <a:schemeClr val="bg1"/>
        </a:solid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'Proveitos por Natureza'!$K$4</c:f>
              <c:strCache>
                <c:ptCount val="1"/>
                <c:pt idx="0">
                  <c:v>Contas de Proveitos e Ganhos por Natureza -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'Proveitos por Natureza'!$M$5:$M$13</c:f>
              <c:numCache>
                <c:formatCode>0.00%</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0-DD23-4873-91E3-91BAB7D3E6C6}"/>
            </c:ext>
          </c:extLst>
        </c:ser>
        <c:dLbls>
          <c:dLblPos val="t"/>
          <c:showLegendKey val="0"/>
          <c:showVal val="1"/>
          <c:showCatName val="0"/>
          <c:showSerName val="0"/>
          <c:showPercent val="0"/>
          <c:showBubbleSize val="0"/>
        </c:dLbls>
        <c:marker val="1"/>
        <c:smooth val="0"/>
        <c:axId val="-441292096"/>
        <c:axId val="-441287200"/>
      </c:lineChart>
      <c:catAx>
        <c:axId val="-441292096"/>
        <c:scaling>
          <c:orientation val="minMax"/>
        </c:scaling>
        <c:delete val="1"/>
        <c:axPos val="b"/>
        <c:majorTickMark val="none"/>
        <c:minorTickMark val="none"/>
        <c:tickLblPos val="nextTo"/>
        <c:crossAx val="-441287200"/>
        <c:crosses val="autoZero"/>
        <c:auto val="1"/>
        <c:lblAlgn val="ctr"/>
        <c:lblOffset val="100"/>
        <c:noMultiLvlLbl val="0"/>
      </c:catAx>
      <c:valAx>
        <c:axId val="-441287200"/>
        <c:scaling>
          <c:orientation val="minMax"/>
        </c:scaling>
        <c:delete val="1"/>
        <c:axPos val="l"/>
        <c:numFmt formatCode="0.00%" sourceLinked="1"/>
        <c:majorTickMark val="none"/>
        <c:minorTickMark val="none"/>
        <c:tickLblPos val="nextTo"/>
        <c:crossAx val="-441292096"/>
        <c:crosses val="autoZero"/>
        <c:crossBetween val="between"/>
      </c:valAx>
      <c:spPr>
        <a:solidFill>
          <a:schemeClr val="bg1"/>
        </a:solid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'Custos por Natureza'!$K$4</c:f>
              <c:strCache>
                <c:ptCount val="1"/>
                <c:pt idx="0">
                  <c:v>Custos e Perdas por Natureza - 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'Custos por Natureza'!$M$5:$M$13</c:f>
              <c:numCache>
                <c:formatCode>0.00%</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0-2371-43B2-AB9F-DB27FF839C40}"/>
            </c:ext>
          </c:extLst>
        </c:ser>
        <c:dLbls>
          <c:dLblPos val="t"/>
          <c:showLegendKey val="0"/>
          <c:showVal val="1"/>
          <c:showCatName val="0"/>
          <c:showSerName val="0"/>
          <c:showPercent val="0"/>
          <c:showBubbleSize val="0"/>
        </c:dLbls>
        <c:marker val="1"/>
        <c:smooth val="0"/>
        <c:axId val="-441298624"/>
        <c:axId val="-441289920"/>
      </c:lineChart>
      <c:catAx>
        <c:axId val="-441298624"/>
        <c:scaling>
          <c:orientation val="minMax"/>
        </c:scaling>
        <c:delete val="1"/>
        <c:axPos val="b"/>
        <c:majorTickMark val="none"/>
        <c:minorTickMark val="none"/>
        <c:tickLblPos val="nextTo"/>
        <c:crossAx val="-441289920"/>
        <c:crosses val="autoZero"/>
        <c:auto val="1"/>
        <c:lblAlgn val="ctr"/>
        <c:lblOffset val="100"/>
        <c:noMultiLvlLbl val="0"/>
      </c:catAx>
      <c:valAx>
        <c:axId val="-441289920"/>
        <c:scaling>
          <c:orientation val="minMax"/>
        </c:scaling>
        <c:delete val="1"/>
        <c:axPos val="l"/>
        <c:numFmt formatCode="0.00%" sourceLinked="1"/>
        <c:majorTickMark val="none"/>
        <c:minorTickMark val="none"/>
        <c:tickLblPos val="nextTo"/>
        <c:crossAx val="-441298624"/>
        <c:crosses val="autoZero"/>
        <c:crossBetween val="between"/>
      </c:valAx>
      <c:spPr>
        <a:solidFill>
          <a:schemeClr val="bg1"/>
        </a:solid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DRE!$C$16</c:f>
              <c:strCache>
                <c:ptCount val="1"/>
                <c:pt idx="0">
                  <c:v>Demonstração do Resultado do Exercício (DRE)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DRE!$F$17:$F$18</c:f>
              <c:numCache>
                <c:formatCode>0.00%</c:formatCode>
                <c:ptCount val="2"/>
                <c:pt idx="0">
                  <c:v>0.42662579226559022</c:v>
                </c:pt>
                <c:pt idx="1">
                  <c:v>0.57337420773440984</c:v>
                </c:pt>
              </c:numCache>
            </c:numRef>
          </c:val>
          <c:smooth val="0"/>
          <c:extLst>
            <c:ext xmlns:c16="http://schemas.microsoft.com/office/drawing/2014/chart" uri="{C3380CC4-5D6E-409C-BE32-E72D297353CC}">
              <c16:uniqueId val="{00000000-B662-4026-A2BE-D4DE3B420BC4}"/>
            </c:ext>
          </c:extLst>
        </c:ser>
        <c:dLbls>
          <c:dLblPos val="t"/>
          <c:showLegendKey val="0"/>
          <c:showVal val="1"/>
          <c:showCatName val="0"/>
          <c:showSerName val="0"/>
          <c:showPercent val="0"/>
          <c:showBubbleSize val="0"/>
        </c:dLbls>
        <c:marker val="1"/>
        <c:smooth val="0"/>
        <c:axId val="-441295904"/>
        <c:axId val="-441295360"/>
      </c:lineChart>
      <c:catAx>
        <c:axId val="-441295904"/>
        <c:scaling>
          <c:orientation val="minMax"/>
        </c:scaling>
        <c:delete val="1"/>
        <c:axPos val="b"/>
        <c:majorTickMark val="none"/>
        <c:minorTickMark val="none"/>
        <c:tickLblPos val="nextTo"/>
        <c:crossAx val="-441295360"/>
        <c:crosses val="autoZero"/>
        <c:auto val="1"/>
        <c:lblAlgn val="ctr"/>
        <c:lblOffset val="100"/>
        <c:noMultiLvlLbl val="0"/>
      </c:catAx>
      <c:valAx>
        <c:axId val="-441295360"/>
        <c:scaling>
          <c:orientation val="minMax"/>
        </c:scaling>
        <c:delete val="1"/>
        <c:axPos val="l"/>
        <c:numFmt formatCode="0.00%" sourceLinked="1"/>
        <c:majorTickMark val="none"/>
        <c:minorTickMark val="none"/>
        <c:tickLblPos val="nextTo"/>
        <c:crossAx val="-441295904"/>
        <c:crosses val="autoZero"/>
        <c:crossBetween val="between"/>
      </c:valAx>
      <c:spPr>
        <a:solidFill>
          <a:schemeClr val="bg1"/>
        </a:solid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DRE!$C$16</c:f>
              <c:strCache>
                <c:ptCount val="1"/>
                <c:pt idx="0">
                  <c:v>Demonstração do Resultado do Exercício (DRE)</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6593-4043-AAEB-C4D208DDA8D8}"/>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3-6593-4043-AAEB-C4D208DDA8D8}"/>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5-6593-4043-AAEB-C4D208DDA8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val>
            <c:numRef>
              <c:f>DRE!$F$17:$F$18</c:f>
              <c:numCache>
                <c:formatCode>0.00%</c:formatCode>
                <c:ptCount val="2"/>
                <c:pt idx="0">
                  <c:v>0.42662579226559022</c:v>
                </c:pt>
                <c:pt idx="1">
                  <c:v>0.57337420773440984</c:v>
                </c:pt>
              </c:numCache>
            </c:numRef>
          </c:val>
          <c:extLst>
            <c:ext xmlns:c16="http://schemas.microsoft.com/office/drawing/2014/chart" uri="{C3380CC4-5D6E-409C-BE32-E72D297353CC}">
              <c16:uniqueId val="{00000006-6593-4043-AAEB-C4D208DDA8D8}"/>
            </c:ext>
          </c:extLst>
        </c:ser>
        <c:dLbls>
          <c:showLegendKey val="0"/>
          <c:showVal val="1"/>
          <c:showCatName val="0"/>
          <c:showSerName val="0"/>
          <c:showPercent val="0"/>
          <c:showBubbleSize val="0"/>
        </c:dLbls>
        <c:gapWidth val="150"/>
        <c:axId val="-441034512"/>
        <c:axId val="-441029072"/>
      </c:barChart>
      <c:catAx>
        <c:axId val="-441034512"/>
        <c:scaling>
          <c:orientation val="minMax"/>
        </c:scaling>
        <c:delete val="1"/>
        <c:axPos val="b"/>
        <c:majorTickMark val="none"/>
        <c:minorTickMark val="none"/>
        <c:tickLblPos val="nextTo"/>
        <c:crossAx val="-441029072"/>
        <c:crosses val="autoZero"/>
        <c:auto val="1"/>
        <c:lblAlgn val="ctr"/>
        <c:lblOffset val="100"/>
        <c:noMultiLvlLbl val="0"/>
      </c:catAx>
      <c:valAx>
        <c:axId val="-441029072"/>
        <c:scaling>
          <c:orientation val="minMax"/>
        </c:scaling>
        <c:delete val="1"/>
        <c:axPos val="l"/>
        <c:numFmt formatCode="0.00%" sourceLinked="1"/>
        <c:majorTickMark val="none"/>
        <c:minorTickMark val="none"/>
        <c:tickLblPos val="nextTo"/>
        <c:crossAx val="-441034512"/>
        <c:crosses val="autoZero"/>
        <c:crossBetween val="between"/>
      </c:valAx>
      <c:spPr>
        <a:solidFill>
          <a:schemeClr val="bg1"/>
        </a:solid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barChart>
        <c:barDir val="col"/>
        <c:grouping val="clustered"/>
        <c:varyColors val="0"/>
        <c:ser>
          <c:idx val="0"/>
          <c:order val="0"/>
          <c:tx>
            <c:strRef>
              <c:f>DRE!$C$16</c:f>
              <c:strCache>
                <c:ptCount val="1"/>
                <c:pt idx="0">
                  <c:v>Demonstração do Resultado do Exercício (DRE)</c:v>
                </c:pt>
              </c:strCache>
            </c:strRef>
          </c:tx>
          <c:spPr>
            <a:solidFill>
              <a:schemeClr val="accent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180D-49F6-B3E4-9AB7BBC8A56D}"/>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180D-49F6-B3E4-9AB7BBC8A5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DRE!$C$17:$D$18</c:f>
              <c:strCache>
                <c:ptCount val="2"/>
                <c:pt idx="0">
                  <c:v>Proveitos por Natureza</c:v>
                </c:pt>
                <c:pt idx="1">
                  <c:v>Custos por Natureza</c:v>
                </c:pt>
              </c:strCache>
            </c:strRef>
          </c:cat>
          <c:val>
            <c:numRef>
              <c:f>DRE!$E$17:$E$18</c:f>
              <c:numCache>
                <mc:AlternateContent xmlns:mc="http://schemas.openxmlformats.org/markup-compatibility/2006">
                  <mc:Choice Requires="c16r2">
                    <c16r2:formatcode2>#\ ##0.00\ [$Kz-pt-AO]</c16r2:formatcode2>
                  </mc:Choice>
                  <mc:Fallback>
                    <c:formatCode>#\ ##0.00\ [$Kz]</c:formatCode>
                  </mc:Fallback>
                </mc:AlternateContent>
                <c:ptCount val="2"/>
                <c:pt idx="0">
                  <c:v>4867221097.0500002</c:v>
                </c:pt>
                <c:pt idx="1">
                  <c:v>6541421289.999999</c:v>
                </c:pt>
              </c:numCache>
            </c:numRef>
          </c:val>
          <c:extLst>
            <c:ext xmlns:c16="http://schemas.microsoft.com/office/drawing/2014/chart" uri="{C3380CC4-5D6E-409C-BE32-E72D297353CC}">
              <c16:uniqueId val="{00000004-180D-49F6-B3E4-9AB7BBC8A56D}"/>
            </c:ext>
          </c:extLst>
        </c:ser>
        <c:dLbls>
          <c:dLblPos val="outEnd"/>
          <c:showLegendKey val="0"/>
          <c:showVal val="1"/>
          <c:showCatName val="0"/>
          <c:showSerName val="0"/>
          <c:showPercent val="0"/>
          <c:showBubbleSize val="0"/>
        </c:dLbls>
        <c:gapWidth val="219"/>
        <c:overlap val="-27"/>
        <c:axId val="-441036144"/>
        <c:axId val="-441032880"/>
      </c:barChart>
      <c:catAx>
        <c:axId val="-44103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41032880"/>
        <c:crosses val="autoZero"/>
        <c:auto val="1"/>
        <c:lblAlgn val="ctr"/>
        <c:lblOffset val="100"/>
        <c:noMultiLvlLbl val="0"/>
      </c:catAx>
      <c:valAx>
        <c:axId val="-441032880"/>
        <c:scaling>
          <c:orientation val="minMax"/>
        </c:scaling>
        <c:delete val="1"/>
        <c:axPos val="l"/>
        <c:numFmt formatCode="#\ ##0.00\ [$Kz]" c16r2:formatcode2="#\ ##0.00\ [$Kz-pt-AO]" sourceLinked="1"/>
        <c:majorTickMark val="none"/>
        <c:minorTickMark val="none"/>
        <c:tickLblPos val="nextTo"/>
        <c:crossAx val="-441036144"/>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DRE!$C$16</c:f>
              <c:strCache>
                <c:ptCount val="1"/>
                <c:pt idx="0">
                  <c:v>Demonstração do Resultado do Exercício (DRE)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DRE!$F$17:$F$18</c:f>
              <c:numCache>
                <c:formatCode>0.00%</c:formatCode>
                <c:ptCount val="2"/>
                <c:pt idx="0">
                  <c:v>0.42662579226559022</c:v>
                </c:pt>
                <c:pt idx="1">
                  <c:v>0.57337420773440984</c:v>
                </c:pt>
              </c:numCache>
            </c:numRef>
          </c:val>
          <c:smooth val="0"/>
          <c:extLst>
            <c:ext xmlns:c16="http://schemas.microsoft.com/office/drawing/2014/chart" uri="{C3380CC4-5D6E-409C-BE32-E72D297353CC}">
              <c16:uniqueId val="{00000000-1498-4B27-AB46-760B9095AC61}"/>
            </c:ext>
          </c:extLst>
        </c:ser>
        <c:dLbls>
          <c:dLblPos val="t"/>
          <c:showLegendKey val="0"/>
          <c:showVal val="1"/>
          <c:showCatName val="0"/>
          <c:showSerName val="0"/>
          <c:showPercent val="0"/>
          <c:showBubbleSize val="0"/>
        </c:dLbls>
        <c:marker val="1"/>
        <c:smooth val="0"/>
        <c:axId val="-441031792"/>
        <c:axId val="-441024176"/>
      </c:lineChart>
      <c:catAx>
        <c:axId val="-441031792"/>
        <c:scaling>
          <c:orientation val="minMax"/>
        </c:scaling>
        <c:delete val="1"/>
        <c:axPos val="b"/>
        <c:majorTickMark val="none"/>
        <c:minorTickMark val="none"/>
        <c:tickLblPos val="nextTo"/>
        <c:crossAx val="-441024176"/>
        <c:crosses val="autoZero"/>
        <c:auto val="1"/>
        <c:lblAlgn val="ctr"/>
        <c:lblOffset val="100"/>
        <c:noMultiLvlLbl val="0"/>
      </c:catAx>
      <c:valAx>
        <c:axId val="-441024176"/>
        <c:scaling>
          <c:orientation val="minMax"/>
        </c:scaling>
        <c:delete val="1"/>
        <c:axPos val="l"/>
        <c:numFmt formatCode="0.00%" sourceLinked="1"/>
        <c:majorTickMark val="none"/>
        <c:minorTickMark val="none"/>
        <c:tickLblPos val="nextTo"/>
        <c:crossAx val="-441031792"/>
        <c:crosses val="autoZero"/>
        <c:crossBetween val="between"/>
      </c:valAx>
      <c:spPr>
        <a:solidFill>
          <a:schemeClr val="bg1"/>
        </a:solid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pieChart>
        <c:varyColors val="1"/>
        <c:ser>
          <c:idx val="0"/>
          <c:order val="0"/>
          <c:tx>
            <c:strRef>
              <c:f>DRE!$C$16</c:f>
              <c:strCache>
                <c:ptCount val="1"/>
                <c:pt idx="0">
                  <c:v>Demonstração do Resultado do Exercício (DRE)</c:v>
                </c:pt>
              </c:strCache>
            </c:strRef>
          </c:tx>
          <c:dPt>
            <c:idx val="0"/>
            <c:bubble3D val="0"/>
            <c:spPr>
              <a:solidFill>
                <a:schemeClr val="accent1"/>
              </a:solidFill>
              <a:ln>
                <a:noFill/>
              </a:ln>
              <a:effectLst/>
            </c:spPr>
            <c:extLst>
              <c:ext xmlns:c16="http://schemas.microsoft.com/office/drawing/2014/chart" uri="{C3380CC4-5D6E-409C-BE32-E72D297353CC}">
                <c16:uniqueId val="{00000001-DD50-4084-B0FD-E5CEB98C2751}"/>
              </c:ext>
            </c:extLst>
          </c:dPt>
          <c:dPt>
            <c:idx val="1"/>
            <c:bubble3D val="0"/>
            <c:spPr>
              <a:solidFill>
                <a:schemeClr val="accent2"/>
              </a:solidFill>
              <a:ln>
                <a:noFill/>
              </a:ln>
              <a:effectLst/>
            </c:spPr>
            <c:extLst>
              <c:ext xmlns:c16="http://schemas.microsoft.com/office/drawing/2014/chart" uri="{C3380CC4-5D6E-409C-BE32-E72D297353CC}">
                <c16:uniqueId val="{00000003-DD50-4084-B0FD-E5CEB98C2751}"/>
              </c:ext>
            </c:extLst>
          </c:dPt>
          <c:dPt>
            <c:idx val="2"/>
            <c:bubble3D val="0"/>
            <c:spPr>
              <a:solidFill>
                <a:schemeClr val="accent3"/>
              </a:solidFill>
              <a:ln>
                <a:noFill/>
              </a:ln>
              <a:effectLst/>
            </c:spPr>
            <c:extLst>
              <c:ext xmlns:c16="http://schemas.microsoft.com/office/drawing/2014/chart" uri="{C3380CC4-5D6E-409C-BE32-E72D297353CC}">
                <c16:uniqueId val="{00000005-DD50-4084-B0FD-E5CEB98C2751}"/>
              </c:ext>
            </c:extLst>
          </c:dPt>
          <c:dPt>
            <c:idx val="3"/>
            <c:bubble3D val="0"/>
            <c:spPr>
              <a:solidFill>
                <a:schemeClr val="accent4"/>
              </a:solidFill>
              <a:ln>
                <a:noFill/>
              </a:ln>
              <a:effectLst/>
            </c:spPr>
            <c:extLst>
              <c:ext xmlns:c16="http://schemas.microsoft.com/office/drawing/2014/chart" uri="{C3380CC4-5D6E-409C-BE32-E72D297353CC}">
                <c16:uniqueId val="{00000007-DD50-4084-B0FD-E5CEB98C27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DRE!$C$17:$D$18</c:f>
              <c:strCache>
                <c:ptCount val="2"/>
                <c:pt idx="0">
                  <c:v>Proveitos por Natureza</c:v>
                </c:pt>
                <c:pt idx="1">
                  <c:v>Custos por Natureza</c:v>
                </c:pt>
              </c:strCache>
            </c:strRef>
          </c:cat>
          <c:val>
            <c:numRef>
              <c:f>DRE!$E$17:$E$18</c:f>
              <c:numCache>
                <mc:AlternateContent xmlns:mc="http://schemas.openxmlformats.org/markup-compatibility/2006">
                  <mc:Choice Requires="c16r2">
                    <c16r2:formatcode2>#\ ##0.00\ [$Kz-pt-AO]</c16r2:formatcode2>
                  </mc:Choice>
                  <mc:Fallback>
                    <c:formatCode>#\ ##0.00\ [$Kz]</c:formatCode>
                  </mc:Fallback>
                </mc:AlternateContent>
                <c:ptCount val="2"/>
                <c:pt idx="0">
                  <c:v>4867221097.0500002</c:v>
                </c:pt>
                <c:pt idx="1">
                  <c:v>6541421289.999999</c:v>
                </c:pt>
              </c:numCache>
            </c:numRef>
          </c:val>
          <c:extLst>
            <c:ext xmlns:c16="http://schemas.microsoft.com/office/drawing/2014/chart" uri="{C3380CC4-5D6E-409C-BE32-E72D297353CC}">
              <c16:uniqueId val="{00000008-DD50-4084-B0FD-E5CEB98C275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DRE!$C$16</c:f>
              <c:strCache>
                <c:ptCount val="1"/>
                <c:pt idx="0">
                  <c:v>Demonstração do Resultado do Exercício (DRE)</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5DFE-4C6D-A77C-562CB9E880C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3-5DFE-4C6D-A77C-562CB9E880C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5-5DFE-4C6D-A77C-562CB9E880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val>
            <c:numRef>
              <c:f>DRE!$F$17:$F$18</c:f>
              <c:numCache>
                <c:formatCode>0.00%</c:formatCode>
                <c:ptCount val="2"/>
                <c:pt idx="0">
                  <c:v>0.42662579226559022</c:v>
                </c:pt>
                <c:pt idx="1">
                  <c:v>0.57337420773440984</c:v>
                </c:pt>
              </c:numCache>
            </c:numRef>
          </c:val>
          <c:extLst>
            <c:ext xmlns:c16="http://schemas.microsoft.com/office/drawing/2014/chart" uri="{C3380CC4-5D6E-409C-BE32-E72D297353CC}">
              <c16:uniqueId val="{00000006-5DFE-4C6D-A77C-562CB9E880C9}"/>
            </c:ext>
          </c:extLst>
        </c:ser>
        <c:dLbls>
          <c:showLegendKey val="0"/>
          <c:showVal val="1"/>
          <c:showCatName val="0"/>
          <c:showSerName val="0"/>
          <c:showPercent val="0"/>
          <c:showBubbleSize val="0"/>
        </c:dLbls>
        <c:gapWidth val="150"/>
        <c:axId val="-441030704"/>
        <c:axId val="-441030160"/>
      </c:barChart>
      <c:catAx>
        <c:axId val="-441030704"/>
        <c:scaling>
          <c:orientation val="minMax"/>
        </c:scaling>
        <c:delete val="1"/>
        <c:axPos val="b"/>
        <c:majorTickMark val="none"/>
        <c:minorTickMark val="none"/>
        <c:tickLblPos val="nextTo"/>
        <c:crossAx val="-441030160"/>
        <c:crosses val="autoZero"/>
        <c:auto val="1"/>
        <c:lblAlgn val="ctr"/>
        <c:lblOffset val="100"/>
        <c:noMultiLvlLbl val="0"/>
      </c:catAx>
      <c:valAx>
        <c:axId val="-441030160"/>
        <c:scaling>
          <c:orientation val="minMax"/>
        </c:scaling>
        <c:delete val="1"/>
        <c:axPos val="l"/>
        <c:numFmt formatCode="0.00%" sourceLinked="1"/>
        <c:majorTickMark val="none"/>
        <c:minorTickMark val="none"/>
        <c:tickLblPos val="nextTo"/>
        <c:crossAx val="-441030704"/>
        <c:crosses val="autoZero"/>
        <c:crossBetween val="between"/>
      </c:valAx>
      <c:spPr>
        <a:solidFill>
          <a:schemeClr val="bg1"/>
        </a:solid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barChart>
        <c:barDir val="col"/>
        <c:grouping val="clustered"/>
        <c:varyColors val="0"/>
        <c:ser>
          <c:idx val="1"/>
          <c:order val="0"/>
          <c:tx>
            <c:strRef>
              <c:f>'Activos Correntes'!$K$4</c:f>
              <c:strCache>
                <c:ptCount val="1"/>
                <c:pt idx="0">
                  <c:v>Contas dos Activos Correntes - 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'Activos Correntes'!$K$5:$K$13</c:f>
              <c:strCache>
                <c:ptCount val="5"/>
                <c:pt idx="0">
                  <c:v>Existências</c:v>
                </c:pt>
                <c:pt idx="1">
                  <c:v>Contas a Receber</c:v>
                </c:pt>
                <c:pt idx="2">
                  <c:v>Disponibilidades</c:v>
                </c:pt>
                <c:pt idx="3">
                  <c:v>Outros activos correntes</c:v>
                </c:pt>
                <c:pt idx="4">
                  <c:v>Estado</c:v>
                </c:pt>
              </c:strCache>
            </c:strRef>
          </c:cat>
          <c:val>
            <c:numRef>
              <c:f>'Activos Correntes'!$L$5:$L$13</c:f>
              <c:numCache>
                <mc:AlternateContent xmlns:mc="http://schemas.openxmlformats.org/markup-compatibility/2006">
                  <mc:Choice Requires="c16r2">
                    <c16r2:formatcode2>#\ ##0.00\ [$Kz-pt-AO]</c16r2:formatcode2>
                  </mc:Choice>
                  <mc:Fallback>
                    <c:formatCode>#\ ##0.00\ [$Kz]</c:formatCode>
                  </mc:Fallback>
                </mc:AlternateContent>
                <c:ptCount val="9"/>
                <c:pt idx="0">
                  <c:v>0</c:v>
                </c:pt>
                <c:pt idx="1">
                  <c:v>1340212444.23</c:v>
                </c:pt>
                <c:pt idx="2">
                  <c:v>52657492.650000155</c:v>
                </c:pt>
                <c:pt idx="3">
                  <c:v>172223189.54999998</c:v>
                </c:pt>
                <c:pt idx="4">
                  <c:v>0</c:v>
                </c:pt>
                <c:pt idx="5">
                  <c:v>0</c:v>
                </c:pt>
                <c:pt idx="6">
                  <c:v>0</c:v>
                </c:pt>
                <c:pt idx="7">
                  <c:v>0</c:v>
                </c:pt>
                <c:pt idx="8">
                  <c:v>0</c:v>
                </c:pt>
              </c:numCache>
            </c:numRef>
          </c:val>
          <c:extLst>
            <c:ext xmlns:c16="http://schemas.microsoft.com/office/drawing/2014/chart" uri="{C3380CC4-5D6E-409C-BE32-E72D297353CC}">
              <c16:uniqueId val="{00000000-193D-4116-8D20-5AF36E4727B0}"/>
            </c:ext>
          </c:extLst>
        </c:ser>
        <c:dLbls>
          <c:dLblPos val="outEnd"/>
          <c:showLegendKey val="0"/>
          <c:showVal val="1"/>
          <c:showCatName val="0"/>
          <c:showSerName val="0"/>
          <c:showPercent val="0"/>
          <c:showBubbleSize val="0"/>
        </c:dLbls>
        <c:gapWidth val="219"/>
        <c:overlap val="-27"/>
        <c:axId val="-441023632"/>
        <c:axId val="-441027984"/>
      </c:barChart>
      <c:catAx>
        <c:axId val="-441023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41027984"/>
        <c:crosses val="autoZero"/>
        <c:auto val="1"/>
        <c:lblAlgn val="ctr"/>
        <c:lblOffset val="100"/>
        <c:noMultiLvlLbl val="0"/>
      </c:catAx>
      <c:valAx>
        <c:axId val="-441027984"/>
        <c:scaling>
          <c:orientation val="minMax"/>
        </c:scaling>
        <c:delete val="1"/>
        <c:axPos val="l"/>
        <c:numFmt formatCode="#\ ##0.00\ [$Kz]" c16r2:formatcode2="#\ ##0.00\ [$Kz-pt-AO]" sourceLinked="1"/>
        <c:majorTickMark val="out"/>
        <c:minorTickMark val="none"/>
        <c:tickLblPos val="nextTo"/>
        <c:crossAx val="-441023632"/>
        <c:crosses val="autoZero"/>
        <c:crossBetween val="between"/>
      </c:valAx>
      <c:spPr>
        <a:solidFill>
          <a:schemeClr val="bg1"/>
        </a:solid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'Activos Correntes'!$K$4</c:f>
              <c:strCache>
                <c:ptCount val="1"/>
                <c:pt idx="0">
                  <c:v>Contas dos Activos Correntes -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'Activos Correntes'!$M$5:$M$13</c:f>
              <c:numCache>
                <c:formatCode>0.00%</c:formatCode>
                <c:ptCount val="9"/>
                <c:pt idx="0">
                  <c:v>0</c:v>
                </c:pt>
                <c:pt idx="1">
                  <c:v>0.85631482344251542</c:v>
                </c:pt>
                <c:pt idx="2">
                  <c:v>3.3644958092757492E-2</c:v>
                </c:pt>
                <c:pt idx="3">
                  <c:v>0.11004021846472711</c:v>
                </c:pt>
                <c:pt idx="4">
                  <c:v>0</c:v>
                </c:pt>
                <c:pt idx="5">
                  <c:v>0</c:v>
                </c:pt>
                <c:pt idx="6">
                  <c:v>0</c:v>
                </c:pt>
                <c:pt idx="7">
                  <c:v>0</c:v>
                </c:pt>
                <c:pt idx="8">
                  <c:v>0</c:v>
                </c:pt>
              </c:numCache>
            </c:numRef>
          </c:val>
          <c:smooth val="0"/>
          <c:extLst>
            <c:ext xmlns:c16="http://schemas.microsoft.com/office/drawing/2014/chart" uri="{C3380CC4-5D6E-409C-BE32-E72D297353CC}">
              <c16:uniqueId val="{00000000-6519-4DFB-818C-382A649438B7}"/>
            </c:ext>
          </c:extLst>
        </c:ser>
        <c:dLbls>
          <c:dLblPos val="t"/>
          <c:showLegendKey val="0"/>
          <c:showVal val="1"/>
          <c:showCatName val="0"/>
          <c:showSerName val="0"/>
          <c:showPercent val="0"/>
          <c:showBubbleSize val="0"/>
        </c:dLbls>
        <c:marker val="1"/>
        <c:smooth val="0"/>
        <c:axId val="-441021456"/>
        <c:axId val="-441026352"/>
      </c:lineChart>
      <c:catAx>
        <c:axId val="-441021456"/>
        <c:scaling>
          <c:orientation val="minMax"/>
        </c:scaling>
        <c:delete val="1"/>
        <c:axPos val="b"/>
        <c:majorTickMark val="none"/>
        <c:minorTickMark val="none"/>
        <c:tickLblPos val="nextTo"/>
        <c:crossAx val="-441026352"/>
        <c:crosses val="autoZero"/>
        <c:auto val="1"/>
        <c:lblAlgn val="ctr"/>
        <c:lblOffset val="100"/>
        <c:noMultiLvlLbl val="0"/>
      </c:catAx>
      <c:valAx>
        <c:axId val="-441026352"/>
        <c:scaling>
          <c:orientation val="minMax"/>
        </c:scaling>
        <c:delete val="1"/>
        <c:axPos val="l"/>
        <c:numFmt formatCode="0.00%" sourceLinked="1"/>
        <c:majorTickMark val="none"/>
        <c:minorTickMark val="none"/>
        <c:tickLblPos val="nextTo"/>
        <c:crossAx val="-441021456"/>
        <c:crosses val="autoZero"/>
        <c:crossBetween val="between"/>
      </c:valAx>
      <c:spPr>
        <a:solidFill>
          <a:schemeClr val="bg1"/>
        </a:solid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barChart>
        <c:barDir val="col"/>
        <c:grouping val="clustered"/>
        <c:varyColors val="0"/>
        <c:ser>
          <c:idx val="1"/>
          <c:order val="0"/>
          <c:tx>
            <c:strRef>
              <c:f>'Activos Não Correntes'!$K$4</c:f>
              <c:strCache>
                <c:ptCount val="1"/>
                <c:pt idx="0">
                  <c:v>Activos Não Correntes - Total</c:v>
                </c:pt>
              </c:strCache>
            </c:strRef>
          </c:tx>
          <c:spPr>
            <a:solidFill>
              <a:schemeClr val="accent1"/>
            </a:solidFill>
            <a:ln>
              <a:noFill/>
            </a:ln>
            <a:effectLst/>
          </c:spPr>
          <c:invertIfNegative val="0"/>
          <c:dLbls>
            <c:dLbl>
              <c:idx val="0"/>
              <c:layout>
                <c:manualLayout>
                  <c:x val="0"/>
                  <c:y val="0.1666667638767942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D91-4CFB-9586-09F66B510510}"/>
                </c:ext>
              </c:extLst>
            </c:dLbl>
            <c:dLbl>
              <c:idx val="2"/>
              <c:layout>
                <c:manualLayout>
                  <c:x val="0"/>
                  <c:y val="5.555558795893144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91-4CFB-9586-09F66B510510}"/>
                </c:ext>
              </c:extLst>
            </c:dLbl>
            <c:dLbl>
              <c:idx val="5"/>
              <c:layout>
                <c:manualLayout>
                  <c:x val="0"/>
                  <c:y val="0.1777778814685805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D91-4CFB-9586-09F66B510510}"/>
                </c:ext>
              </c:extLst>
            </c:dLbl>
            <c:dLbl>
              <c:idx val="7"/>
              <c:layout>
                <c:manualLayout>
                  <c:x val="0"/>
                  <c:y val="0.1962964107882243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91-4CFB-9586-09F66B510510}"/>
                </c:ext>
              </c:extLst>
            </c:dLbl>
            <c:dLbl>
              <c:idx val="9"/>
              <c:layout>
                <c:manualLayout>
                  <c:x val="-1.0958779662036727E-16"/>
                  <c:y val="0.1888889990603669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D91-4CFB-9586-09F66B510510}"/>
                </c:ext>
              </c:extLst>
            </c:dLbl>
            <c:dLbl>
              <c:idx val="11"/>
              <c:layout>
                <c:manualLayout>
                  <c:x val="0"/>
                  <c:y val="0.1851852931964380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D91-4CFB-9586-09F66B510510}"/>
                </c:ext>
              </c:extLst>
            </c:dLbl>
            <c:dLbl>
              <c:idx val="13"/>
              <c:layout>
                <c:manualLayout>
                  <c:x val="-1.0958779662036727E-16"/>
                  <c:y val="0.2333334694275120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D91-4CFB-9586-09F66B5105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'Activos Não Correntes'!$K$5:$K$13</c:f>
              <c:strCache>
                <c:ptCount val="6"/>
                <c:pt idx="0">
                  <c:v>Imobilizações corpóreas</c:v>
                </c:pt>
                <c:pt idx="1">
                  <c:v>Imobilizações incorpóreas</c:v>
                </c:pt>
                <c:pt idx="2">
                  <c:v>Investimentos em Subsidiárias e Associadas</c:v>
                </c:pt>
                <c:pt idx="3">
                  <c:v>Outros Activos Financeiros</c:v>
                </c:pt>
                <c:pt idx="4">
                  <c:v>Provisões para Investimentos Financeiros</c:v>
                </c:pt>
                <c:pt idx="5">
                  <c:v>Outros Activos não Correntes</c:v>
                </c:pt>
              </c:strCache>
            </c:strRef>
          </c:cat>
          <c:val>
            <c:numRef>
              <c:f>'Activos Não Correntes'!$L$5:$L$13</c:f>
              <c:numCache>
                <mc:AlternateContent xmlns:mc="http://schemas.openxmlformats.org/markup-compatibility/2006">
                  <mc:Choice Requires="c16r2">
                    <c16r2:formatcode2>#\ ##0.00\ [$Kz-pt-AO]</c16r2:formatcode2>
                  </mc:Choice>
                  <mc:Fallback>
                    <c:formatCode>#\ ##0.00\ [$Kz]</c:formatCode>
                  </mc:Fallback>
                </mc:AlternateContent>
                <c:ptCount val="9"/>
                <c:pt idx="0">
                  <c:v>3423873567.8199997</c:v>
                </c:pt>
                <c:pt idx="1">
                  <c:v>21076889.280000031</c:v>
                </c:pt>
                <c:pt idx="2">
                  <c:v>0</c:v>
                </c:pt>
                <c:pt idx="3">
                  <c:v>0</c:v>
                </c:pt>
                <c:pt idx="4">
                  <c:v>0</c:v>
                </c:pt>
                <c:pt idx="5">
                  <c:v>0</c:v>
                </c:pt>
                <c:pt idx="6">
                  <c:v>0</c:v>
                </c:pt>
              </c:numCache>
            </c:numRef>
          </c:val>
          <c:extLst>
            <c:ext xmlns:c16="http://schemas.microsoft.com/office/drawing/2014/chart" uri="{C3380CC4-5D6E-409C-BE32-E72D297353CC}">
              <c16:uniqueId val="{00000007-ED91-4CFB-9586-09F66B510510}"/>
            </c:ext>
          </c:extLst>
        </c:ser>
        <c:dLbls>
          <c:dLblPos val="outEnd"/>
          <c:showLegendKey val="0"/>
          <c:showVal val="1"/>
          <c:showCatName val="0"/>
          <c:showSerName val="0"/>
          <c:showPercent val="0"/>
          <c:showBubbleSize val="0"/>
        </c:dLbls>
        <c:gapWidth val="219"/>
        <c:overlap val="-27"/>
        <c:axId val="-414986432"/>
        <c:axId val="-414985344"/>
      </c:barChart>
      <c:catAx>
        <c:axId val="-414986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14985344"/>
        <c:crosses val="autoZero"/>
        <c:auto val="1"/>
        <c:lblAlgn val="ctr"/>
        <c:lblOffset val="100"/>
        <c:noMultiLvlLbl val="0"/>
      </c:catAx>
      <c:valAx>
        <c:axId val="-414985344"/>
        <c:scaling>
          <c:orientation val="minMax"/>
        </c:scaling>
        <c:delete val="1"/>
        <c:axPos val="l"/>
        <c:numFmt formatCode="#\ ##0.00\ [$Kz]" c16r2:formatcode2="#\ ##0.00\ [$Kz-pt-AO]" sourceLinked="1"/>
        <c:majorTickMark val="out"/>
        <c:minorTickMark val="none"/>
        <c:tickLblPos val="nextTo"/>
        <c:crossAx val="-414986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'Activos Não Correntes'!$K$4</c:f>
              <c:strCache>
                <c:ptCount val="1"/>
                <c:pt idx="0">
                  <c:v>Activos Não Correntes -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'Activos Não Correntes'!$M$5:$M$13</c:f>
              <c:numCache>
                <c:formatCode>0.00%</c:formatCode>
                <c:ptCount val="9"/>
                <c:pt idx="0">
                  <c:v>0.99388180191777187</c:v>
                </c:pt>
                <c:pt idx="1">
                  <c:v>6.1181980822280985E-3</c:v>
                </c:pt>
                <c:pt idx="2">
                  <c:v>0</c:v>
                </c:pt>
                <c:pt idx="3">
                  <c:v>0</c:v>
                </c:pt>
                <c:pt idx="4">
                  <c:v>0</c:v>
                </c:pt>
                <c:pt idx="5">
                  <c:v>0</c:v>
                </c:pt>
                <c:pt idx="6">
                  <c:v>0</c:v>
                </c:pt>
              </c:numCache>
            </c:numRef>
          </c:val>
          <c:smooth val="0"/>
          <c:extLst>
            <c:ext xmlns:c16="http://schemas.microsoft.com/office/drawing/2014/chart" uri="{C3380CC4-5D6E-409C-BE32-E72D297353CC}">
              <c16:uniqueId val="{00000000-F347-4180-9C3C-FB9ABB0D22CF}"/>
            </c:ext>
          </c:extLst>
        </c:ser>
        <c:dLbls>
          <c:dLblPos val="t"/>
          <c:showLegendKey val="0"/>
          <c:showVal val="1"/>
          <c:showCatName val="0"/>
          <c:showSerName val="0"/>
          <c:showPercent val="0"/>
          <c:showBubbleSize val="0"/>
        </c:dLbls>
        <c:marker val="1"/>
        <c:smooth val="0"/>
        <c:axId val="-414979904"/>
        <c:axId val="-414989696"/>
      </c:lineChart>
      <c:catAx>
        <c:axId val="-414979904"/>
        <c:scaling>
          <c:orientation val="minMax"/>
        </c:scaling>
        <c:delete val="1"/>
        <c:axPos val="b"/>
        <c:majorTickMark val="none"/>
        <c:minorTickMark val="none"/>
        <c:tickLblPos val="nextTo"/>
        <c:crossAx val="-414989696"/>
        <c:crosses val="autoZero"/>
        <c:auto val="1"/>
        <c:lblAlgn val="ctr"/>
        <c:lblOffset val="100"/>
        <c:noMultiLvlLbl val="0"/>
      </c:catAx>
      <c:valAx>
        <c:axId val="-414989696"/>
        <c:scaling>
          <c:orientation val="minMax"/>
        </c:scaling>
        <c:delete val="1"/>
        <c:axPos val="l"/>
        <c:numFmt formatCode="0.00%" sourceLinked="1"/>
        <c:majorTickMark val="none"/>
        <c:minorTickMark val="none"/>
        <c:tickLblPos val="nextTo"/>
        <c:crossAx val="-414979904"/>
        <c:crosses val="autoZero"/>
        <c:crossBetween val="between"/>
      </c:valAx>
      <c:spPr>
        <a:solidFill>
          <a:schemeClr val="bg1"/>
        </a:solid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barChart>
        <c:barDir val="col"/>
        <c:grouping val="clustered"/>
        <c:varyColors val="0"/>
        <c:ser>
          <c:idx val="1"/>
          <c:order val="0"/>
          <c:tx>
            <c:strRef>
              <c:f>'Passivo Corrente'!$K$4</c:f>
              <c:strCache>
                <c:ptCount val="1"/>
                <c:pt idx="0">
                  <c:v>Contas do Passivo Corrente - 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'Passivo Corrente'!$K$5:$K$13</c:f>
              <c:strCache>
                <c:ptCount val="7"/>
                <c:pt idx="0">
                  <c:v>Contas a pagar</c:v>
                </c:pt>
                <c:pt idx="1">
                  <c:v>Participantes e Participadas</c:v>
                </c:pt>
                <c:pt idx="2">
                  <c:v>Pessoal</c:v>
                </c:pt>
                <c:pt idx="3">
                  <c:v>Empréstimos de Curto Prazo</c:v>
                </c:pt>
                <c:pt idx="4">
                  <c:v>Parte Correspondente dos Empréstimos de Médio e Longo Prazo</c:v>
                </c:pt>
                <c:pt idx="5">
                  <c:v>Estado</c:v>
                </c:pt>
                <c:pt idx="6">
                  <c:v>Outros Passivos Correntes</c:v>
                </c:pt>
              </c:strCache>
            </c:strRef>
          </c:cat>
          <c:val>
            <c:numRef>
              <c:f>'Passivo Corrente'!$L$5:$L$13</c:f>
              <c:numCache>
                <mc:AlternateContent xmlns:mc="http://schemas.openxmlformats.org/markup-compatibility/2006">
                  <mc:Choice Requires="c16r2">
                    <c16r2:formatcode2>#\ ##0.00\ [$Kz-pt-AO]</c16r2:formatcode2>
                  </mc:Choice>
                  <mc:Fallback>
                    <c:formatCode>#\ ##0.00\ [$Kz]</c:formatCode>
                  </mc:Fallback>
                </mc:AlternateContent>
                <c:ptCount val="9"/>
                <c:pt idx="0">
                  <c:v>1006980995.0899999</c:v>
                </c:pt>
                <c:pt idx="1">
                  <c:v>0</c:v>
                </c:pt>
                <c:pt idx="2">
                  <c:v>0</c:v>
                </c:pt>
                <c:pt idx="3">
                  <c:v>0</c:v>
                </c:pt>
                <c:pt idx="4">
                  <c:v>0</c:v>
                </c:pt>
                <c:pt idx="5">
                  <c:v>487794092.52000004</c:v>
                </c:pt>
                <c:pt idx="6">
                  <c:v>443261193.25</c:v>
                </c:pt>
                <c:pt idx="7">
                  <c:v>0</c:v>
                </c:pt>
                <c:pt idx="8">
                  <c:v>0</c:v>
                </c:pt>
              </c:numCache>
            </c:numRef>
          </c:val>
          <c:extLst>
            <c:ext xmlns:c16="http://schemas.microsoft.com/office/drawing/2014/chart" uri="{C3380CC4-5D6E-409C-BE32-E72D297353CC}">
              <c16:uniqueId val="{00000000-CDF5-4DB3-BCC6-6D2F070503A8}"/>
            </c:ext>
          </c:extLst>
        </c:ser>
        <c:dLbls>
          <c:dLblPos val="outEnd"/>
          <c:showLegendKey val="0"/>
          <c:showVal val="1"/>
          <c:showCatName val="0"/>
          <c:showSerName val="0"/>
          <c:showPercent val="0"/>
          <c:showBubbleSize val="0"/>
        </c:dLbls>
        <c:gapWidth val="219"/>
        <c:overlap val="-27"/>
        <c:axId val="-414982080"/>
        <c:axId val="-414976640"/>
      </c:barChart>
      <c:catAx>
        <c:axId val="-414982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14976640"/>
        <c:crosses val="autoZero"/>
        <c:auto val="1"/>
        <c:lblAlgn val="ctr"/>
        <c:lblOffset val="100"/>
        <c:noMultiLvlLbl val="0"/>
      </c:catAx>
      <c:valAx>
        <c:axId val="-414976640"/>
        <c:scaling>
          <c:orientation val="minMax"/>
        </c:scaling>
        <c:delete val="1"/>
        <c:axPos val="l"/>
        <c:numFmt formatCode="#\ ##0.00\ [$Kz]" c16r2:formatcode2="#\ ##0.00\ [$Kz-pt-AO]" sourceLinked="1"/>
        <c:majorTickMark val="out"/>
        <c:minorTickMark val="none"/>
        <c:tickLblPos val="nextTo"/>
        <c:crossAx val="-414982080"/>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'Passivo Corrente'!$K$4</c:f>
              <c:strCache>
                <c:ptCount val="1"/>
                <c:pt idx="0">
                  <c:v>Contas do Passivo Corrente - 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'Passivo Corrente'!$M$5:$M$13</c:f>
              <c:numCache>
                <c:formatCode>0.00%</c:formatCode>
                <c:ptCount val="9"/>
                <c:pt idx="0">
                  <c:v>-394.4077329478211</c:v>
                </c:pt>
                <c:pt idx="1">
                  <c:v>0</c:v>
                </c:pt>
                <c:pt idx="2">
                  <c:v>0</c:v>
                </c:pt>
                <c:pt idx="3">
                  <c:v>0</c:v>
                </c:pt>
                <c:pt idx="4">
                  <c:v>0</c:v>
                </c:pt>
                <c:pt idx="5">
                  <c:v>-191.05600117006966</c:v>
                </c:pt>
                <c:pt idx="6">
                  <c:v>-173.61364632095496</c:v>
                </c:pt>
                <c:pt idx="7">
                  <c:v>0</c:v>
                </c:pt>
                <c:pt idx="8">
                  <c:v>0</c:v>
                </c:pt>
              </c:numCache>
            </c:numRef>
          </c:val>
          <c:smooth val="0"/>
          <c:extLst>
            <c:ext xmlns:c16="http://schemas.microsoft.com/office/drawing/2014/chart" uri="{C3380CC4-5D6E-409C-BE32-E72D297353CC}">
              <c16:uniqueId val="{00000000-1648-450B-8BE5-620A5CD33231}"/>
            </c:ext>
          </c:extLst>
        </c:ser>
        <c:dLbls>
          <c:dLblPos val="t"/>
          <c:showLegendKey val="0"/>
          <c:showVal val="1"/>
          <c:showCatName val="0"/>
          <c:showSerName val="0"/>
          <c:showPercent val="0"/>
          <c:showBubbleSize val="0"/>
        </c:dLbls>
        <c:marker val="1"/>
        <c:smooth val="0"/>
        <c:axId val="-414986976"/>
        <c:axId val="-414984256"/>
      </c:lineChart>
      <c:catAx>
        <c:axId val="-414986976"/>
        <c:scaling>
          <c:orientation val="minMax"/>
        </c:scaling>
        <c:delete val="1"/>
        <c:axPos val="b"/>
        <c:majorTickMark val="none"/>
        <c:minorTickMark val="none"/>
        <c:tickLblPos val="nextTo"/>
        <c:crossAx val="-414984256"/>
        <c:crosses val="autoZero"/>
        <c:auto val="1"/>
        <c:lblAlgn val="ctr"/>
        <c:lblOffset val="100"/>
        <c:noMultiLvlLbl val="0"/>
      </c:catAx>
      <c:valAx>
        <c:axId val="-414984256"/>
        <c:scaling>
          <c:orientation val="minMax"/>
        </c:scaling>
        <c:delete val="1"/>
        <c:axPos val="l"/>
        <c:numFmt formatCode="0.00%" sourceLinked="1"/>
        <c:majorTickMark val="none"/>
        <c:minorTickMark val="none"/>
        <c:tickLblPos val="nextTo"/>
        <c:crossAx val="-414986976"/>
        <c:crosses val="autoZero"/>
        <c:crossBetween val="between"/>
      </c:valAx>
      <c:spPr>
        <a:solidFill>
          <a:schemeClr val="bg1"/>
        </a:solid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barChart>
        <c:barDir val="col"/>
        <c:grouping val="clustered"/>
        <c:varyColors val="0"/>
        <c:ser>
          <c:idx val="1"/>
          <c:order val="0"/>
          <c:tx>
            <c:strRef>
              <c:f>'Passivo Não Corrente'!$K$4</c:f>
              <c:strCache>
                <c:ptCount val="1"/>
                <c:pt idx="0">
                  <c:v>Contas do Passivo Não Corrente</c:v>
                </c:pt>
              </c:strCache>
            </c:strRef>
          </c:tx>
          <c:spPr>
            <a:solidFill>
              <a:schemeClr val="accent2"/>
            </a:solidFill>
            <a:ln>
              <a:noFill/>
            </a:ln>
            <a:effectLst/>
          </c:spPr>
          <c:invertIfNegative val="0"/>
          <c:dLbls>
            <c:dLbl>
              <c:idx val="0"/>
              <c:layout>
                <c:manualLayout>
                  <c:x val="0"/>
                  <c:y val="0.2168674065758156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C4-4C1B-953F-B773092486C5}"/>
                </c:ext>
              </c:extLst>
            </c:dLbl>
            <c:dLbl>
              <c:idx val="2"/>
              <c:layout>
                <c:manualLayout>
                  <c:x val="0"/>
                  <c:y val="0.2168674065758156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C4-4C1B-953F-B773092486C5}"/>
                </c:ext>
              </c:extLst>
            </c:dLbl>
            <c:dLbl>
              <c:idx val="4"/>
              <c:layout>
                <c:manualLayout>
                  <c:x val="4.4887777022971937E-3"/>
                  <c:y val="0.2001852983776759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C4-4C1B-953F-B773092486C5}"/>
                </c:ext>
              </c:extLst>
            </c:dLbl>
            <c:dLbl>
              <c:idx val="6"/>
              <c:layout>
                <c:manualLayout>
                  <c:x val="-5.486220481076082E-17"/>
                  <c:y val="0.2057460011103891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C4-4C1B-953F-B773092486C5}"/>
                </c:ext>
              </c:extLst>
            </c:dLbl>
            <c:dLbl>
              <c:idx val="8"/>
              <c:layout>
                <c:manualLayout>
                  <c:x val="5.486220481076082E-17"/>
                  <c:y val="0.2001852983776759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C4-4C1B-953F-B773092486C5}"/>
                </c:ext>
              </c:extLst>
            </c:dLbl>
            <c:dLbl>
              <c:idx val="10"/>
              <c:layout>
                <c:manualLayout>
                  <c:x val="-5.486220481076082E-17"/>
                  <c:y val="0.2001852983776759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C4-4C1B-953F-B773092486C5}"/>
                </c:ext>
              </c:extLst>
            </c:dLbl>
            <c:dLbl>
              <c:idx val="12"/>
              <c:layout>
                <c:manualLayout>
                  <c:x val="-1.0972440962152164E-16"/>
                  <c:y val="0.1946245956449627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CC4-4C1B-953F-B773092486C5}"/>
                </c:ext>
              </c:extLst>
            </c:dLbl>
            <c:dLbl>
              <c:idx val="14"/>
              <c:layout>
                <c:manualLayout>
                  <c:x val="1.4962592340990646E-3"/>
                  <c:y val="8.341054099069825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CC4-4C1B-953F-B773092486C5}"/>
                </c:ext>
              </c:extLst>
            </c:dLbl>
            <c:dLbl>
              <c:idx val="16"/>
              <c:layout>
                <c:manualLayout>
                  <c:x val="2.9925184681981291E-3"/>
                  <c:y val="0.1779424874468230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CC4-4C1B-953F-B773092486C5}"/>
                </c:ext>
              </c:extLst>
            </c:dLbl>
            <c:dLbl>
              <c:idx val="17"/>
              <c:layout>
                <c:manualLayout>
                  <c:x val="5.9850369363962583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CC4-4C1B-953F-B773092486C5}"/>
                </c:ext>
              </c:extLst>
            </c:dLbl>
            <c:dLbl>
              <c:idx val="18"/>
              <c:layout>
                <c:manualLayout>
                  <c:x val="1.4962592340990646E-3"/>
                  <c:y val="0.1890638929122495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CC4-4C1B-953F-B773092486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'Passivo Não Corrente'!$K$5:$K$11</c:f>
              <c:strCache>
                <c:ptCount val="5"/>
                <c:pt idx="0">
                  <c:v>Empréstimos de médio e longo prazos</c:v>
                </c:pt>
                <c:pt idx="1">
                  <c:v>Impostos diferidos</c:v>
                </c:pt>
                <c:pt idx="2">
                  <c:v>Provisões para pensões</c:v>
                </c:pt>
                <c:pt idx="3">
                  <c:v>Provisões para outros riscos e encagos</c:v>
                </c:pt>
                <c:pt idx="4">
                  <c:v>Outros passivos não correntes</c:v>
                </c:pt>
              </c:strCache>
            </c:strRef>
          </c:cat>
          <c:val>
            <c:numRef>
              <c:f>'Passivo Não Corrente'!$L$5:$L$11</c:f>
              <c:numCache>
                <mc:AlternateContent xmlns:mc="http://schemas.openxmlformats.org/markup-compatibility/2006">
                  <mc:Choice Requires="c16r2">
                    <c16r2:formatcode2>#\ ##0.00\ [$Kz-pt-AO]</c16r2:formatcode2>
                  </mc:Choice>
                  <mc:Fallback>
                    <c:formatCode>#\ ##0.00\ [$Kz]</c:formatCode>
                  </mc:Fallback>
                </mc:AlternateContent>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B-ACC4-4C1B-953F-B773092486C5}"/>
            </c:ext>
          </c:extLst>
        </c:ser>
        <c:dLbls>
          <c:dLblPos val="outEnd"/>
          <c:showLegendKey val="0"/>
          <c:showVal val="1"/>
          <c:showCatName val="0"/>
          <c:showSerName val="0"/>
          <c:showPercent val="0"/>
          <c:showBubbleSize val="0"/>
        </c:dLbls>
        <c:gapWidth val="219"/>
        <c:overlap val="-27"/>
        <c:axId val="-414981536"/>
        <c:axId val="-414987520"/>
      </c:barChart>
      <c:catAx>
        <c:axId val="-414981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14987520"/>
        <c:crosses val="autoZero"/>
        <c:auto val="1"/>
        <c:lblAlgn val="ctr"/>
        <c:lblOffset val="100"/>
        <c:noMultiLvlLbl val="0"/>
      </c:catAx>
      <c:valAx>
        <c:axId val="-414987520"/>
        <c:scaling>
          <c:orientation val="minMax"/>
        </c:scaling>
        <c:delete val="1"/>
        <c:axPos val="l"/>
        <c:numFmt formatCode="#\ ##0.00\ [$Kz]" c16r2:formatcode2="#\ ##0.00\ [$Kz-pt-AO]" sourceLinked="1"/>
        <c:majorTickMark val="out"/>
        <c:minorTickMark val="none"/>
        <c:tickLblPos val="nextTo"/>
        <c:crossAx val="-414981536"/>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orientation="landscape"/>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'Passivo Não Corrente'!$K$4</c:f>
              <c:strCache>
                <c:ptCount val="1"/>
                <c:pt idx="0">
                  <c:v>Contas do Passivo Não Corrente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'Passivo Não Corrente'!$M$5:$M$11</c:f>
              <c:numCache>
                <c:formatCode>0.00%</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0-B92F-4EF5-9855-6A736483C935}"/>
            </c:ext>
          </c:extLst>
        </c:ser>
        <c:dLbls>
          <c:dLblPos val="t"/>
          <c:showLegendKey val="0"/>
          <c:showVal val="1"/>
          <c:showCatName val="0"/>
          <c:showSerName val="0"/>
          <c:showPercent val="0"/>
          <c:showBubbleSize val="0"/>
        </c:dLbls>
        <c:marker val="1"/>
        <c:smooth val="0"/>
        <c:axId val="-414978272"/>
        <c:axId val="-414980448"/>
      </c:lineChart>
      <c:catAx>
        <c:axId val="-414978272"/>
        <c:scaling>
          <c:orientation val="minMax"/>
        </c:scaling>
        <c:delete val="1"/>
        <c:axPos val="b"/>
        <c:majorTickMark val="none"/>
        <c:minorTickMark val="none"/>
        <c:tickLblPos val="nextTo"/>
        <c:crossAx val="-414980448"/>
        <c:crosses val="autoZero"/>
        <c:auto val="1"/>
        <c:lblAlgn val="ctr"/>
        <c:lblOffset val="100"/>
        <c:noMultiLvlLbl val="0"/>
      </c:catAx>
      <c:valAx>
        <c:axId val="-414980448"/>
        <c:scaling>
          <c:orientation val="minMax"/>
        </c:scaling>
        <c:delete val="1"/>
        <c:axPos val="l"/>
        <c:numFmt formatCode="0.00%" sourceLinked="1"/>
        <c:majorTickMark val="none"/>
        <c:minorTickMark val="none"/>
        <c:tickLblPos val="nextTo"/>
        <c:crossAx val="-414978272"/>
        <c:crosses val="autoZero"/>
        <c:crossBetween val="between"/>
      </c:valAx>
      <c:spPr>
        <a:solidFill>
          <a:schemeClr val="bg1"/>
        </a:solid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barChart>
        <c:barDir val="col"/>
        <c:grouping val="clustered"/>
        <c:varyColors val="0"/>
        <c:ser>
          <c:idx val="0"/>
          <c:order val="0"/>
          <c:tx>
            <c:strRef>
              <c:f>Gráficos!$L$35</c:f>
              <c:strCache>
                <c:ptCount val="1"/>
                <c:pt idx="0">
                  <c:v>Balanço Patrimonial</c:v>
                </c:pt>
              </c:strCache>
            </c:strRef>
          </c:tx>
          <c:spPr>
            <a:solidFill>
              <a:schemeClr val="accent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76A-4792-ACCD-E5D906B8129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D76A-4792-ACCD-E5D906B81293}"/>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5-D76A-4792-ACCD-E5D906B812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Gráficos!$L$36:$L$39</c:f>
              <c:strCache>
                <c:ptCount val="4"/>
                <c:pt idx="0">
                  <c:v>Activos Correntes (Bens e Direitos)</c:v>
                </c:pt>
                <c:pt idx="1">
                  <c:v>Activos Não Correntes </c:v>
                </c:pt>
                <c:pt idx="2">
                  <c:v>Passivo Corrente</c:v>
                </c:pt>
                <c:pt idx="3">
                  <c:v>Passivo Não Corrente</c:v>
                </c:pt>
              </c:strCache>
            </c:strRef>
          </c:cat>
          <c:val>
            <c:numRef>
              <c:f>Gráficos!$M$36:$M$39</c:f>
              <c:numCache>
                <c:formatCode>"R$"\ #\ ##0.00</c:formatCode>
                <c:ptCount val="4"/>
                <c:pt idx="0">
                  <c:v>1565093126.4300001</c:v>
                </c:pt>
                <c:pt idx="1">
                  <c:v>3444950457.0999999</c:v>
                </c:pt>
                <c:pt idx="2">
                  <c:v>1938036280.8599999</c:v>
                </c:pt>
                <c:pt idx="3">
                  <c:v>0</c:v>
                </c:pt>
              </c:numCache>
            </c:numRef>
          </c:val>
          <c:extLst>
            <c:ext xmlns:c16="http://schemas.microsoft.com/office/drawing/2014/chart" uri="{C3380CC4-5D6E-409C-BE32-E72D297353CC}">
              <c16:uniqueId val="{00000006-D76A-4792-ACCD-E5D906B81293}"/>
            </c:ext>
          </c:extLst>
        </c:ser>
        <c:dLbls>
          <c:dLblPos val="outEnd"/>
          <c:showLegendKey val="0"/>
          <c:showVal val="1"/>
          <c:showCatName val="0"/>
          <c:showSerName val="0"/>
          <c:showPercent val="0"/>
          <c:showBubbleSize val="0"/>
        </c:dLbls>
        <c:gapWidth val="219"/>
        <c:overlap val="-27"/>
        <c:axId val="-414975552"/>
        <c:axId val="-414975008"/>
      </c:barChart>
      <c:catAx>
        <c:axId val="-41497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14975008"/>
        <c:crosses val="autoZero"/>
        <c:auto val="1"/>
        <c:lblAlgn val="ctr"/>
        <c:lblOffset val="100"/>
        <c:noMultiLvlLbl val="0"/>
      </c:catAx>
      <c:valAx>
        <c:axId val="-414975008"/>
        <c:scaling>
          <c:orientation val="minMax"/>
        </c:scaling>
        <c:delete val="1"/>
        <c:axPos val="l"/>
        <c:numFmt formatCode="&quot;R$&quot;\ #\ ##0.00" sourceLinked="1"/>
        <c:majorTickMark val="none"/>
        <c:minorTickMark val="none"/>
        <c:tickLblPos val="nextTo"/>
        <c:crossAx val="-414975552"/>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Gráficos!$L$35</c:f>
              <c:strCache>
                <c:ptCount val="1"/>
                <c:pt idx="0">
                  <c:v>Balanço Patrimonial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val>
            <c:numRef>
              <c:f>Gráficos!$N$36:$N$39</c:f>
              <c:numCache>
                <c:formatCode>0.00%</c:formatCode>
                <c:ptCount val="4"/>
                <c:pt idx="0">
                  <c:v>0.22525548885114982</c:v>
                </c:pt>
                <c:pt idx="1">
                  <c:v>0.49581330732191381</c:v>
                </c:pt>
                <c:pt idx="2">
                  <c:v>0.27893120382693642</c:v>
                </c:pt>
                <c:pt idx="3">
                  <c:v>0</c:v>
                </c:pt>
              </c:numCache>
            </c:numRef>
          </c:val>
          <c:smooth val="0"/>
          <c:extLst>
            <c:ext xmlns:c16="http://schemas.microsoft.com/office/drawing/2014/chart" uri="{C3380CC4-5D6E-409C-BE32-E72D297353CC}">
              <c16:uniqueId val="{00000000-1051-4635-B3F2-27058A386336}"/>
            </c:ext>
          </c:extLst>
        </c:ser>
        <c:dLbls>
          <c:dLblPos val="t"/>
          <c:showLegendKey val="0"/>
          <c:showVal val="1"/>
          <c:showCatName val="0"/>
          <c:showSerName val="0"/>
          <c:showPercent val="0"/>
          <c:showBubbleSize val="0"/>
        </c:dLbls>
        <c:marker val="1"/>
        <c:smooth val="0"/>
        <c:axId val="-414988064"/>
        <c:axId val="-414224848"/>
      </c:lineChart>
      <c:catAx>
        <c:axId val="-414988064"/>
        <c:scaling>
          <c:orientation val="minMax"/>
        </c:scaling>
        <c:delete val="1"/>
        <c:axPos val="b"/>
        <c:majorTickMark val="none"/>
        <c:minorTickMark val="none"/>
        <c:tickLblPos val="nextTo"/>
        <c:crossAx val="-414224848"/>
        <c:crosses val="autoZero"/>
        <c:auto val="1"/>
        <c:lblAlgn val="ctr"/>
        <c:lblOffset val="100"/>
        <c:noMultiLvlLbl val="0"/>
      </c:catAx>
      <c:valAx>
        <c:axId val="-414224848"/>
        <c:scaling>
          <c:orientation val="minMax"/>
        </c:scaling>
        <c:delete val="1"/>
        <c:axPos val="l"/>
        <c:numFmt formatCode="0.00%" sourceLinked="1"/>
        <c:majorTickMark val="none"/>
        <c:minorTickMark val="none"/>
        <c:tickLblPos val="nextTo"/>
        <c:crossAx val="-414988064"/>
        <c:crosses val="autoZero"/>
        <c:crossBetween val="between"/>
      </c:valAx>
      <c:spPr>
        <a:solidFill>
          <a:schemeClr val="bg1"/>
        </a:solid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barChart>
        <c:barDir val="col"/>
        <c:grouping val="clustered"/>
        <c:varyColors val="0"/>
        <c:ser>
          <c:idx val="1"/>
          <c:order val="0"/>
          <c:tx>
            <c:strRef>
              <c:f>'Proveitos por Natureza'!$K$4</c:f>
              <c:strCache>
                <c:ptCount val="1"/>
                <c:pt idx="0">
                  <c:v>Contas de Proveitos e Ganhos por Natureza - 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'Proveitos por Natureza'!$K$5:$K$13</c:f>
              <c:strCache>
                <c:ptCount val="9"/>
                <c:pt idx="0">
                  <c:v>Vendas</c:v>
                </c:pt>
                <c:pt idx="1">
                  <c:v>Prestações de Serviço</c:v>
                </c:pt>
                <c:pt idx="2">
                  <c:v>Outros Proveitos Operacionais</c:v>
                </c:pt>
                <c:pt idx="3">
                  <c:v>Varição nos Produtos Acabados e Produtos em Vias de Fabrico</c:v>
                </c:pt>
                <c:pt idx="4">
                  <c:v>Trabalhos para a Própria Empresa</c:v>
                </c:pt>
                <c:pt idx="5">
                  <c:v>Proveitos e Ganhos Financeiros Gerais</c:v>
                </c:pt>
                <c:pt idx="6">
                  <c:v>Proveitos e Ganhos Financeiros em Susidiárias e Associadas</c:v>
                </c:pt>
                <c:pt idx="7">
                  <c:v>Outros Proveitos e Ganhos não Operacionais</c:v>
                </c:pt>
                <c:pt idx="8">
                  <c:v>Proveitos e Ganhos Extraordinários</c:v>
                </c:pt>
              </c:strCache>
            </c:strRef>
          </c:cat>
          <c:val>
            <c:numRef>
              <c:f>'Proveitos por Natureza'!$L$5:$L$13</c:f>
              <c:numCache>
                <mc:AlternateContent xmlns:mc="http://schemas.openxmlformats.org/markup-compatibility/2006">
                  <mc:Choice Requires="c16r2">
                    <c16r2:formatcode2>#\ ##0.00\ [$Kz-pt-AO]</c16r2:formatcode2>
                  </mc:Choice>
                  <mc:Fallback>
                    <c:formatCode>#\ ##0.00\ [$Kz]</c:formatCode>
                  </mc:Fallback>
                </mc:AlternateContent>
                <c:ptCount val="9"/>
                <c:pt idx="0">
                  <c:v>0</c:v>
                </c:pt>
                <c:pt idx="1">
                  <c:v>1769212327.72</c:v>
                </c:pt>
                <c:pt idx="2">
                  <c:v>3062918878.1999998</c:v>
                </c:pt>
                <c:pt idx="3">
                  <c:v>0</c:v>
                </c:pt>
                <c:pt idx="4">
                  <c:v>0</c:v>
                </c:pt>
                <c:pt idx="5">
                  <c:v>10089891.130000001</c:v>
                </c:pt>
                <c:pt idx="6">
                  <c:v>0</c:v>
                </c:pt>
                <c:pt idx="7">
                  <c:v>25000000</c:v>
                </c:pt>
                <c:pt idx="8">
                  <c:v>0</c:v>
                </c:pt>
              </c:numCache>
            </c:numRef>
          </c:val>
          <c:extLst>
            <c:ext xmlns:c16="http://schemas.microsoft.com/office/drawing/2014/chart" uri="{C3380CC4-5D6E-409C-BE32-E72D297353CC}">
              <c16:uniqueId val="{00000000-C11F-4B2A-8FCB-3175FABF3B8F}"/>
            </c:ext>
          </c:extLst>
        </c:ser>
        <c:dLbls>
          <c:dLblPos val="outEnd"/>
          <c:showLegendKey val="0"/>
          <c:showVal val="1"/>
          <c:showCatName val="0"/>
          <c:showSerName val="0"/>
          <c:showPercent val="0"/>
          <c:showBubbleSize val="0"/>
        </c:dLbls>
        <c:gapWidth val="219"/>
        <c:overlap val="-27"/>
        <c:axId val="-414224304"/>
        <c:axId val="-414217776"/>
      </c:barChart>
      <c:catAx>
        <c:axId val="-414224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14217776"/>
        <c:crosses val="autoZero"/>
        <c:auto val="1"/>
        <c:lblAlgn val="ctr"/>
        <c:lblOffset val="100"/>
        <c:noMultiLvlLbl val="0"/>
      </c:catAx>
      <c:valAx>
        <c:axId val="-414217776"/>
        <c:scaling>
          <c:orientation val="minMax"/>
        </c:scaling>
        <c:delete val="1"/>
        <c:axPos val="l"/>
        <c:numFmt formatCode="#\ ##0.00\ [$Kz]" c16r2:formatcode2="#\ ##0.00\ [$Kz-pt-AO]" sourceLinked="1"/>
        <c:majorTickMark val="out"/>
        <c:minorTickMark val="none"/>
        <c:tickLblPos val="nextTo"/>
        <c:crossAx val="-414224304"/>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'Proveitos por Natureza'!$K$4</c:f>
              <c:strCache>
                <c:ptCount val="1"/>
                <c:pt idx="0">
                  <c:v>Contas de Proveitos e Ganhos por Natureza -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'Proveitos por Natureza'!$M$5:$M$13</c:f>
              <c:numCache>
                <c:formatCode>0.00%</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0-A0FF-4EC2-8ACE-A133F884A0E8}"/>
            </c:ext>
          </c:extLst>
        </c:ser>
        <c:dLbls>
          <c:dLblPos val="t"/>
          <c:showLegendKey val="0"/>
          <c:showVal val="1"/>
          <c:showCatName val="0"/>
          <c:showSerName val="0"/>
          <c:showPercent val="0"/>
          <c:showBubbleSize val="0"/>
        </c:dLbls>
        <c:marker val="1"/>
        <c:smooth val="0"/>
        <c:axId val="-414222672"/>
        <c:axId val="-414218864"/>
      </c:lineChart>
      <c:catAx>
        <c:axId val="-414222672"/>
        <c:scaling>
          <c:orientation val="minMax"/>
        </c:scaling>
        <c:delete val="1"/>
        <c:axPos val="b"/>
        <c:majorTickMark val="none"/>
        <c:minorTickMark val="none"/>
        <c:tickLblPos val="nextTo"/>
        <c:crossAx val="-414218864"/>
        <c:crosses val="autoZero"/>
        <c:auto val="1"/>
        <c:lblAlgn val="ctr"/>
        <c:lblOffset val="100"/>
        <c:noMultiLvlLbl val="0"/>
      </c:catAx>
      <c:valAx>
        <c:axId val="-414218864"/>
        <c:scaling>
          <c:orientation val="minMax"/>
        </c:scaling>
        <c:delete val="1"/>
        <c:axPos val="l"/>
        <c:numFmt formatCode="0.00%" sourceLinked="1"/>
        <c:majorTickMark val="none"/>
        <c:minorTickMark val="none"/>
        <c:tickLblPos val="nextTo"/>
        <c:crossAx val="-414222672"/>
        <c:crosses val="autoZero"/>
        <c:crossBetween val="between"/>
      </c:valAx>
      <c:spPr>
        <a:solidFill>
          <a:schemeClr val="bg1"/>
        </a:solid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barChart>
        <c:barDir val="col"/>
        <c:grouping val="clustered"/>
        <c:varyColors val="0"/>
        <c:ser>
          <c:idx val="1"/>
          <c:order val="0"/>
          <c:tx>
            <c:strRef>
              <c:f>'Custos por Natureza'!$K$4</c:f>
              <c:strCache>
                <c:ptCount val="1"/>
                <c:pt idx="0">
                  <c:v>Custos e Perdas por Natureza - 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'Custos por Natureza'!$K$5:$K$13</c:f>
              <c:strCache>
                <c:ptCount val="8"/>
                <c:pt idx="0">
                  <c:v>Custo das Mercadorias Vendidas e das Matérias-primas Consumidas</c:v>
                </c:pt>
                <c:pt idx="1">
                  <c:v>Custos com o Pessoal</c:v>
                </c:pt>
                <c:pt idx="2">
                  <c:v>Amortizações do Exercício</c:v>
                </c:pt>
                <c:pt idx="3">
                  <c:v>Outros Custos e Perdas Operacionais</c:v>
                </c:pt>
                <c:pt idx="4">
                  <c:v>Custos e Perdas Financeiras Gerais</c:v>
                </c:pt>
                <c:pt idx="5">
                  <c:v>Custos e Perdas Financeiras para Filiais e Associadas</c:v>
                </c:pt>
                <c:pt idx="6">
                  <c:v>Outros Custos e Perdas não Operacionais</c:v>
                </c:pt>
                <c:pt idx="7">
                  <c:v>Custos e Perdas Extraordinários</c:v>
                </c:pt>
              </c:strCache>
            </c:strRef>
          </c:cat>
          <c:val>
            <c:numRef>
              <c:f>'Custos por Natureza'!$L$5:$L$13</c:f>
              <c:numCache>
                <mc:AlternateContent xmlns:mc="http://schemas.openxmlformats.org/markup-compatibility/2006">
                  <mc:Choice Requires="c16r2">
                    <c16r2:formatcode2>#\ ##0.00\ [$Kz-pt-AO]</c16r2:formatcode2>
                  </mc:Choice>
                  <mc:Fallback>
                    <c:formatCode>#\ ##0.00\ [$Kz]</c:formatCode>
                  </mc:Fallback>
                </mc:AlternateContent>
                <c:ptCount val="9"/>
                <c:pt idx="0">
                  <c:v>179684780.97</c:v>
                </c:pt>
                <c:pt idx="1">
                  <c:v>3317851310.2799997</c:v>
                </c:pt>
                <c:pt idx="2">
                  <c:v>508397950.43000001</c:v>
                </c:pt>
                <c:pt idx="3">
                  <c:v>1500182672.03</c:v>
                </c:pt>
                <c:pt idx="4">
                  <c:v>15878780.16</c:v>
                </c:pt>
                <c:pt idx="5">
                  <c:v>0</c:v>
                </c:pt>
                <c:pt idx="6">
                  <c:v>1019425796.13</c:v>
                </c:pt>
                <c:pt idx="7">
                  <c:v>0</c:v>
                </c:pt>
                <c:pt idx="8">
                  <c:v>0</c:v>
                </c:pt>
              </c:numCache>
            </c:numRef>
          </c:val>
          <c:extLst>
            <c:ext xmlns:c16="http://schemas.microsoft.com/office/drawing/2014/chart" uri="{C3380CC4-5D6E-409C-BE32-E72D297353CC}">
              <c16:uniqueId val="{00000000-B739-4CBD-B963-8E91AC4FF7CD}"/>
            </c:ext>
          </c:extLst>
        </c:ser>
        <c:dLbls>
          <c:dLblPos val="outEnd"/>
          <c:showLegendKey val="0"/>
          <c:showVal val="1"/>
          <c:showCatName val="0"/>
          <c:showSerName val="0"/>
          <c:showPercent val="0"/>
          <c:showBubbleSize val="0"/>
        </c:dLbls>
        <c:gapWidth val="219"/>
        <c:overlap val="-27"/>
        <c:axId val="-414222128"/>
        <c:axId val="-414221584"/>
      </c:barChart>
      <c:catAx>
        <c:axId val="-414222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14221584"/>
        <c:crosses val="autoZero"/>
        <c:auto val="1"/>
        <c:lblAlgn val="ctr"/>
        <c:lblOffset val="100"/>
        <c:noMultiLvlLbl val="0"/>
      </c:catAx>
      <c:valAx>
        <c:axId val="-414221584"/>
        <c:scaling>
          <c:orientation val="minMax"/>
        </c:scaling>
        <c:delete val="1"/>
        <c:axPos val="l"/>
        <c:numFmt formatCode="#\ ##0.00\ [$Kz]" c16r2:formatcode2="#\ ##0.00\ [$Kz-pt-AO]" sourceLinked="1"/>
        <c:majorTickMark val="out"/>
        <c:minorTickMark val="none"/>
        <c:tickLblPos val="nextTo"/>
        <c:crossAx val="-414222128"/>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'Custos por Natureza'!$K$4</c:f>
              <c:strCache>
                <c:ptCount val="1"/>
                <c:pt idx="0">
                  <c:v>Custos e Perdas por Natureza - 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'Custos por Natureza'!$M$5:$M$13</c:f>
              <c:numCache>
                <c:formatCode>0.00%</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0-83C0-4B7A-963D-9630B1D8ACF1}"/>
            </c:ext>
          </c:extLst>
        </c:ser>
        <c:dLbls>
          <c:dLblPos val="t"/>
          <c:showLegendKey val="0"/>
          <c:showVal val="1"/>
          <c:showCatName val="0"/>
          <c:showSerName val="0"/>
          <c:showPercent val="0"/>
          <c:showBubbleSize val="0"/>
        </c:dLbls>
        <c:marker val="1"/>
        <c:smooth val="0"/>
        <c:axId val="-414379120"/>
        <c:axId val="-414383472"/>
      </c:lineChart>
      <c:catAx>
        <c:axId val="-414379120"/>
        <c:scaling>
          <c:orientation val="minMax"/>
        </c:scaling>
        <c:delete val="1"/>
        <c:axPos val="b"/>
        <c:majorTickMark val="none"/>
        <c:minorTickMark val="none"/>
        <c:tickLblPos val="nextTo"/>
        <c:crossAx val="-414383472"/>
        <c:crosses val="autoZero"/>
        <c:auto val="1"/>
        <c:lblAlgn val="ctr"/>
        <c:lblOffset val="100"/>
        <c:noMultiLvlLbl val="0"/>
      </c:catAx>
      <c:valAx>
        <c:axId val="-414383472"/>
        <c:scaling>
          <c:orientation val="minMax"/>
        </c:scaling>
        <c:delete val="1"/>
        <c:axPos val="l"/>
        <c:numFmt formatCode="0.00%" sourceLinked="1"/>
        <c:majorTickMark val="none"/>
        <c:minorTickMark val="none"/>
        <c:tickLblPos val="nextTo"/>
        <c:crossAx val="-414379120"/>
        <c:crosses val="autoZero"/>
        <c:crossBetween val="between"/>
      </c:valAx>
      <c:spPr>
        <a:solidFill>
          <a:schemeClr val="bg1"/>
        </a:solid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pieChart>
        <c:varyColors val="1"/>
        <c:ser>
          <c:idx val="0"/>
          <c:order val="0"/>
          <c:tx>
            <c:strRef>
              <c:f>Gráficos!$L$35</c:f>
              <c:strCache>
                <c:ptCount val="1"/>
                <c:pt idx="0">
                  <c:v>Balanço Patrimonial</c:v>
                </c:pt>
              </c:strCache>
            </c:strRef>
          </c:tx>
          <c:dPt>
            <c:idx val="0"/>
            <c:bubble3D val="0"/>
            <c:spPr>
              <a:solidFill>
                <a:schemeClr val="accent1"/>
              </a:solidFill>
              <a:ln>
                <a:noFill/>
              </a:ln>
              <a:effectLst/>
            </c:spPr>
            <c:extLst>
              <c:ext xmlns:c16="http://schemas.microsoft.com/office/drawing/2014/chart" uri="{C3380CC4-5D6E-409C-BE32-E72D297353CC}">
                <c16:uniqueId val="{00000001-0F43-4EEC-A3D7-6D6EDB0562BD}"/>
              </c:ext>
            </c:extLst>
          </c:dPt>
          <c:dPt>
            <c:idx val="1"/>
            <c:bubble3D val="0"/>
            <c:spPr>
              <a:solidFill>
                <a:schemeClr val="accent2"/>
              </a:solidFill>
              <a:ln>
                <a:noFill/>
              </a:ln>
              <a:effectLst/>
            </c:spPr>
            <c:extLst>
              <c:ext xmlns:c16="http://schemas.microsoft.com/office/drawing/2014/chart" uri="{C3380CC4-5D6E-409C-BE32-E72D297353CC}">
                <c16:uniqueId val="{00000003-0F43-4EEC-A3D7-6D6EDB0562BD}"/>
              </c:ext>
            </c:extLst>
          </c:dPt>
          <c:dPt>
            <c:idx val="2"/>
            <c:bubble3D val="0"/>
            <c:spPr>
              <a:solidFill>
                <a:schemeClr val="accent3"/>
              </a:solidFill>
              <a:ln>
                <a:noFill/>
              </a:ln>
              <a:effectLst/>
            </c:spPr>
            <c:extLst>
              <c:ext xmlns:c16="http://schemas.microsoft.com/office/drawing/2014/chart" uri="{C3380CC4-5D6E-409C-BE32-E72D297353CC}">
                <c16:uniqueId val="{00000005-0F43-4EEC-A3D7-6D6EDB0562BD}"/>
              </c:ext>
            </c:extLst>
          </c:dPt>
          <c:dPt>
            <c:idx val="3"/>
            <c:bubble3D val="0"/>
            <c:spPr>
              <a:solidFill>
                <a:schemeClr val="accent4"/>
              </a:solidFill>
              <a:ln>
                <a:noFill/>
              </a:ln>
              <a:effectLst/>
            </c:spPr>
            <c:extLst>
              <c:ext xmlns:c16="http://schemas.microsoft.com/office/drawing/2014/chart" uri="{C3380CC4-5D6E-409C-BE32-E72D297353CC}">
                <c16:uniqueId val="{00000007-0F43-4EEC-A3D7-6D6EDB0562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Gráficos!$L$36:$L$39</c:f>
              <c:strCache>
                <c:ptCount val="4"/>
                <c:pt idx="0">
                  <c:v>Activos Correntes (Bens e Direitos)</c:v>
                </c:pt>
                <c:pt idx="1">
                  <c:v>Activos Não Correntes </c:v>
                </c:pt>
                <c:pt idx="2">
                  <c:v>Passivo Corrente</c:v>
                </c:pt>
                <c:pt idx="3">
                  <c:v>Passivo Não Corrente</c:v>
                </c:pt>
              </c:strCache>
            </c:strRef>
          </c:cat>
          <c:val>
            <c:numRef>
              <c:f>Gráficos!$M$36:$M$39</c:f>
              <c:numCache>
                <c:formatCode>"R$"\ #\ ##0.00</c:formatCode>
                <c:ptCount val="4"/>
                <c:pt idx="0">
                  <c:v>1565093126.4300001</c:v>
                </c:pt>
                <c:pt idx="1">
                  <c:v>3444950457.0999999</c:v>
                </c:pt>
                <c:pt idx="2">
                  <c:v>1938036280.8599999</c:v>
                </c:pt>
                <c:pt idx="3">
                  <c:v>0</c:v>
                </c:pt>
              </c:numCache>
            </c:numRef>
          </c:val>
          <c:extLst>
            <c:ext xmlns:c16="http://schemas.microsoft.com/office/drawing/2014/chart" uri="{C3380CC4-5D6E-409C-BE32-E72D297353CC}">
              <c16:uniqueId val="{00000008-0F43-4EEC-A3D7-6D6EDB0562B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Gráficos!$L$35</c:f>
              <c:strCache>
                <c:ptCount val="1"/>
                <c:pt idx="0">
                  <c:v>Balanço Patrimonial</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4F2D-48EA-9291-24EB88EE4CC3}"/>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3-4F2D-48EA-9291-24EB88EE4CC3}"/>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5-4F2D-48EA-9291-24EB88EE4C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val>
            <c:numRef>
              <c:f>Gráficos!$N$36:$N$39</c:f>
              <c:numCache>
                <c:formatCode>0.00%</c:formatCode>
                <c:ptCount val="4"/>
                <c:pt idx="0">
                  <c:v>0.22525548885114982</c:v>
                </c:pt>
                <c:pt idx="1">
                  <c:v>0.49581330732191381</c:v>
                </c:pt>
                <c:pt idx="2">
                  <c:v>0.27893120382693642</c:v>
                </c:pt>
                <c:pt idx="3">
                  <c:v>0</c:v>
                </c:pt>
              </c:numCache>
            </c:numRef>
          </c:val>
          <c:extLst>
            <c:ext xmlns:c16="http://schemas.microsoft.com/office/drawing/2014/chart" uri="{C3380CC4-5D6E-409C-BE32-E72D297353CC}">
              <c16:uniqueId val="{00000006-4F2D-48EA-9291-24EB88EE4CC3}"/>
            </c:ext>
          </c:extLst>
        </c:ser>
        <c:dLbls>
          <c:showLegendKey val="0"/>
          <c:showVal val="1"/>
          <c:showCatName val="0"/>
          <c:showSerName val="0"/>
          <c:showPercent val="0"/>
          <c:showBubbleSize val="0"/>
        </c:dLbls>
        <c:gapWidth val="150"/>
        <c:axId val="-414378576"/>
        <c:axId val="-414378032"/>
      </c:barChart>
      <c:catAx>
        <c:axId val="-414378576"/>
        <c:scaling>
          <c:orientation val="minMax"/>
        </c:scaling>
        <c:delete val="1"/>
        <c:axPos val="b"/>
        <c:majorTickMark val="none"/>
        <c:minorTickMark val="none"/>
        <c:tickLblPos val="nextTo"/>
        <c:crossAx val="-414378032"/>
        <c:crosses val="autoZero"/>
        <c:auto val="1"/>
        <c:lblAlgn val="ctr"/>
        <c:lblOffset val="100"/>
        <c:noMultiLvlLbl val="0"/>
      </c:catAx>
      <c:valAx>
        <c:axId val="-414378032"/>
        <c:scaling>
          <c:orientation val="minMax"/>
        </c:scaling>
        <c:delete val="1"/>
        <c:axPos val="l"/>
        <c:numFmt formatCode="0.00%" sourceLinked="1"/>
        <c:majorTickMark val="none"/>
        <c:minorTickMark val="none"/>
        <c:tickLblPos val="nextTo"/>
        <c:crossAx val="-414378576"/>
        <c:crosses val="autoZero"/>
        <c:crossBetween val="between"/>
      </c:valAx>
      <c:spPr>
        <a:solidFill>
          <a:schemeClr val="bg1"/>
        </a:solid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pt-PT"/>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Custos por Natureza'!A1"/><Relationship Id="rId13" Type="http://schemas.openxmlformats.org/officeDocument/2006/relationships/hyperlink" Target="#'Indicadores da Opera&#231;&#227;o'!A1"/><Relationship Id="rId18" Type="http://schemas.openxmlformats.org/officeDocument/2006/relationships/image" Target="../media/image1.png"/><Relationship Id="rId3" Type="http://schemas.openxmlformats.org/officeDocument/2006/relationships/hyperlink" Target="#'Passivo N&#227;o Corrente'!A1"/><Relationship Id="rId7" Type="http://schemas.openxmlformats.org/officeDocument/2006/relationships/hyperlink" Target="#'Proveitos por Natureza'!A1"/><Relationship Id="rId12" Type="http://schemas.openxmlformats.org/officeDocument/2006/relationships/hyperlink" Target="#'Indicadores de Liquidez'!A1"/><Relationship Id="rId17" Type="http://schemas.openxmlformats.org/officeDocument/2006/relationships/hyperlink" Target="#Balancete!A1"/><Relationship Id="rId2" Type="http://schemas.openxmlformats.org/officeDocument/2006/relationships/hyperlink" Target="#'Activos Correntes'!A1"/><Relationship Id="rId16" Type="http://schemas.openxmlformats.org/officeDocument/2006/relationships/hyperlink" Target="#'Plano Contas'!A1"/><Relationship Id="rId20" Type="http://schemas.openxmlformats.org/officeDocument/2006/relationships/hyperlink" Target="#'Avalia&#231;&#227;o da Conta'!A1"/><Relationship Id="rId1" Type="http://schemas.openxmlformats.org/officeDocument/2006/relationships/hyperlink" Target="#'Activos N&#227;o Correntes'!A1"/><Relationship Id="rId6" Type="http://schemas.openxmlformats.org/officeDocument/2006/relationships/hyperlink" Target="#'Capital Pr&#243;prio'!A1"/><Relationship Id="rId11" Type="http://schemas.openxmlformats.org/officeDocument/2006/relationships/hyperlink" Target="#'Indicadores de Endividamento'!A1"/><Relationship Id="rId5" Type="http://schemas.openxmlformats.org/officeDocument/2006/relationships/hyperlink" Target="#'Balan&#231;o Patrimonial'!A1"/><Relationship Id="rId15" Type="http://schemas.openxmlformats.org/officeDocument/2006/relationships/hyperlink" Target="#Impress&#227;o!A1"/><Relationship Id="rId10" Type="http://schemas.openxmlformats.org/officeDocument/2006/relationships/hyperlink" Target="#Gr&#225;ficos!A1"/><Relationship Id="rId19" Type="http://schemas.openxmlformats.org/officeDocument/2006/relationships/image" Target="../media/image2.png"/><Relationship Id="rId4" Type="http://schemas.openxmlformats.org/officeDocument/2006/relationships/hyperlink" Target="#'Passivo Corrente'!A1"/><Relationship Id="rId9" Type="http://schemas.openxmlformats.org/officeDocument/2006/relationships/hyperlink" Target="#DRE!A1"/><Relationship Id="rId14" Type="http://schemas.openxmlformats.org/officeDocument/2006/relationships/hyperlink" Target="#'Indicadores de Rentabilidade'!A1"/></Relationships>
</file>

<file path=xl/drawings/_rels/drawing2.xml.rels><?xml version="1.0" encoding="UTF-8" standalone="yes"?>
<Relationships xmlns="http://schemas.openxmlformats.org/package/2006/relationships"><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1" Type="http://schemas.openxmlformats.org/officeDocument/2006/relationships/hyperlink" Target="#MENU!A1"/></Relationships>
</file>

<file path=xl/drawings/_rels/drawing5.xml.rels><?xml version="1.0" encoding="UTF-8" standalone="yes"?>
<Relationships xmlns="http://schemas.openxmlformats.org/package/2006/relationships"><Relationship Id="rId1" Type="http://schemas.openxmlformats.org/officeDocument/2006/relationships/hyperlink" Target="#MENU!A1"/></Relationships>
</file>

<file path=xl/drawings/_rels/drawing6.xml.rels><?xml version="1.0" encoding="UTF-8" standalone="yes"?>
<Relationships xmlns="http://schemas.openxmlformats.org/package/2006/relationships"><Relationship Id="rId1" Type="http://schemas.openxmlformats.org/officeDocument/2006/relationships/hyperlink" Target="#MENU!A1"/></Relationships>
</file>

<file path=xl/drawings/_rels/drawing7.xml.rels><?xml version="1.0" encoding="UTF-8" standalone="yes"?>
<Relationships xmlns="http://schemas.openxmlformats.org/package/2006/relationships"><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1" Type="http://schemas.openxmlformats.org/officeDocument/2006/relationships/hyperlink" Target="#MENU!A1"/></Relationships>
</file>

<file path=xl/drawings/_rels/drawing10.xml.rels><?xml version="1.0" encoding="UTF-8" standalone="yes"?>
<Relationships xmlns="http://schemas.openxmlformats.org/package/2006/relationships"><Relationship Id="rId1" Type="http://schemas.openxmlformats.org/officeDocument/2006/relationships/hyperlink" Target="#MENU!A1"/></Relationships>
</file>

<file path=xl/drawings/_rels/drawing11.xml.rels><?xml version="1.0" encoding="UTF-8" standalone="yes"?>
<Relationships xmlns="http://schemas.openxmlformats.org/package/2006/relationships"><Relationship Id="rId1" Type="http://schemas.openxmlformats.org/officeDocument/2006/relationships/hyperlink" Target="#MENU!A1"/></Relationships>
</file>

<file path=xl/drawings/_rels/drawing12.xml.rels><?xml version="1.0" encoding="UTF-8" standalone="yes"?>
<Relationships xmlns="http://schemas.openxmlformats.org/package/2006/relationships"><Relationship Id="rId1" Type="http://schemas.openxmlformats.org/officeDocument/2006/relationships/hyperlink" Target="#MENU!A1"/></Relationships>
</file>

<file path=xl/drawings/_rels/drawing13.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hyperlink" Target="#MENU!A1"/><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hyperlink" Target="#MENU!A1"/></Relationships>
</file>

<file path=xl/drawings/_rels/drawing15.xml.rels><?xml version="1.0" encoding="UTF-8" standalone="yes"?>
<Relationships xmlns="http://schemas.openxmlformats.org/package/2006/relationships"><Relationship Id="rId1" Type="http://schemas.openxmlformats.org/officeDocument/2006/relationships/hyperlink" Target="#MENU!A1"/></Relationships>
</file>

<file path=xl/drawings/_rels/drawing16.xml.rels><?xml version="1.0" encoding="UTF-8" standalone="yes"?>
<Relationships xmlns="http://schemas.openxmlformats.org/package/2006/relationships"><Relationship Id="rId1" Type="http://schemas.openxmlformats.org/officeDocument/2006/relationships/hyperlink" Target="#MENU!A1"/></Relationships>
</file>

<file path=xl/drawings/_rels/drawing17.xml.rels><?xml version="1.0" encoding="UTF-8" standalone="yes"?>
<Relationships xmlns="http://schemas.openxmlformats.org/package/2006/relationships"><Relationship Id="rId1" Type="http://schemas.openxmlformats.org/officeDocument/2006/relationships/hyperlink" Target="#MENU!A1"/></Relationships>
</file>

<file path=xl/drawings/_rels/drawing18.xml.rels><?xml version="1.0" encoding="UTF-8" standalone="yes"?>
<Relationships xmlns="http://schemas.openxmlformats.org/package/2006/relationships"><Relationship Id="rId1" Type="http://schemas.openxmlformats.org/officeDocument/2006/relationships/hyperlink" Target="#MENU!A1"/></Relationships>
</file>

<file path=xl/drawings/_rels/drawing19.xml.rels><?xml version="1.0" encoding="UTF-8" standalone="yes"?>
<Relationships xmlns="http://schemas.openxmlformats.org/package/2006/relationships"><Relationship Id="rId8" Type="http://schemas.openxmlformats.org/officeDocument/2006/relationships/chart" Target="../charts/chart28.xml"/><Relationship Id="rId13" Type="http://schemas.openxmlformats.org/officeDocument/2006/relationships/chart" Target="../charts/chart33.xml"/><Relationship Id="rId18" Type="http://schemas.openxmlformats.org/officeDocument/2006/relationships/chart" Target="../charts/chart38.xml"/><Relationship Id="rId3" Type="http://schemas.openxmlformats.org/officeDocument/2006/relationships/chart" Target="../charts/chart23.xml"/><Relationship Id="rId21" Type="http://schemas.openxmlformats.org/officeDocument/2006/relationships/hyperlink" Target="#MENU!A1"/><Relationship Id="rId7" Type="http://schemas.openxmlformats.org/officeDocument/2006/relationships/chart" Target="../charts/chart27.xml"/><Relationship Id="rId12" Type="http://schemas.openxmlformats.org/officeDocument/2006/relationships/chart" Target="../charts/chart32.xml"/><Relationship Id="rId17" Type="http://schemas.openxmlformats.org/officeDocument/2006/relationships/chart" Target="../charts/chart37.xml"/><Relationship Id="rId2" Type="http://schemas.openxmlformats.org/officeDocument/2006/relationships/chart" Target="../charts/chart22.xml"/><Relationship Id="rId16" Type="http://schemas.openxmlformats.org/officeDocument/2006/relationships/chart" Target="../charts/chart36.xml"/><Relationship Id="rId20" Type="http://schemas.openxmlformats.org/officeDocument/2006/relationships/chart" Target="../charts/chart40.xml"/><Relationship Id="rId1" Type="http://schemas.openxmlformats.org/officeDocument/2006/relationships/chart" Target="../charts/chart21.xml"/><Relationship Id="rId6" Type="http://schemas.openxmlformats.org/officeDocument/2006/relationships/chart" Target="../charts/chart26.xml"/><Relationship Id="rId11" Type="http://schemas.openxmlformats.org/officeDocument/2006/relationships/chart" Target="../charts/chart31.xml"/><Relationship Id="rId5" Type="http://schemas.openxmlformats.org/officeDocument/2006/relationships/chart" Target="../charts/chart25.xml"/><Relationship Id="rId15" Type="http://schemas.openxmlformats.org/officeDocument/2006/relationships/chart" Target="../charts/chart35.xml"/><Relationship Id="rId10" Type="http://schemas.openxmlformats.org/officeDocument/2006/relationships/chart" Target="../charts/chart30.xml"/><Relationship Id="rId19" Type="http://schemas.openxmlformats.org/officeDocument/2006/relationships/chart" Target="../charts/chart39.xml"/><Relationship Id="rId4" Type="http://schemas.openxmlformats.org/officeDocument/2006/relationships/chart" Target="../charts/chart24.xml"/><Relationship Id="rId9" Type="http://schemas.openxmlformats.org/officeDocument/2006/relationships/chart" Target="../charts/chart29.xml"/><Relationship Id="rId14" Type="http://schemas.openxmlformats.org/officeDocument/2006/relationships/chart" Target="../charts/chart34.xml"/></Relationships>
</file>

<file path=xl/drawings/_rels/drawing2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https://www.eplanilhas.com.br" TargetMode="External"/></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54427</xdr:rowOff>
    </xdr:from>
    <xdr:to>
      <xdr:col>3</xdr:col>
      <xdr:colOff>857250</xdr:colOff>
      <xdr:row>8</xdr:row>
      <xdr:rowOff>424542</xdr:rowOff>
    </xdr:to>
    <xdr:sp macro="" textlink="">
      <xdr:nvSpPr>
        <xdr:cNvPr id="16" name="Retângulo: Cantos Arredondados 15">
          <a:hlinkClick xmlns:r="http://schemas.openxmlformats.org/officeDocument/2006/relationships" r:id="rId1"/>
          <a:extLst>
            <a:ext uri="{FF2B5EF4-FFF2-40B4-BE49-F238E27FC236}">
              <a16:creationId xmlns:a16="http://schemas.microsoft.com/office/drawing/2014/main" id="{C65D5AD0-977F-4FA6-9492-0C44D1D379AE}"/>
            </a:ext>
          </a:extLst>
        </xdr:cNvPr>
        <xdr:cNvSpPr/>
      </xdr:nvSpPr>
      <xdr:spPr>
        <a:xfrm>
          <a:off x="914400" y="3124198"/>
          <a:ext cx="1477736" cy="370115"/>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Activos Não Corrente</a:t>
          </a:r>
        </a:p>
      </xdr:txBody>
    </xdr:sp>
    <xdr:clientData/>
  </xdr:twoCellAnchor>
  <xdr:twoCellAnchor>
    <xdr:from>
      <xdr:col>3</xdr:col>
      <xdr:colOff>899588</xdr:colOff>
      <xdr:row>8</xdr:row>
      <xdr:rowOff>54427</xdr:rowOff>
    </xdr:from>
    <xdr:to>
      <xdr:col>3</xdr:col>
      <xdr:colOff>2370671</xdr:colOff>
      <xdr:row>8</xdr:row>
      <xdr:rowOff>424542</xdr:rowOff>
    </xdr:to>
    <xdr:sp macro="" textlink="">
      <xdr:nvSpPr>
        <xdr:cNvPr id="18" name="Retângulo: Cantos Arredondados 17">
          <a:hlinkClick xmlns:r="http://schemas.openxmlformats.org/officeDocument/2006/relationships" r:id="rId2"/>
          <a:extLst>
            <a:ext uri="{FF2B5EF4-FFF2-40B4-BE49-F238E27FC236}">
              <a16:creationId xmlns:a16="http://schemas.microsoft.com/office/drawing/2014/main" id="{8DC0D80D-56FD-4242-894F-245408036441}"/>
            </a:ext>
          </a:extLst>
        </xdr:cNvPr>
        <xdr:cNvSpPr/>
      </xdr:nvSpPr>
      <xdr:spPr>
        <a:xfrm>
          <a:off x="2434474" y="3124198"/>
          <a:ext cx="1471083" cy="370115"/>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lt1"/>
              </a:solidFill>
              <a:latin typeface="+mn-lt"/>
              <a:ea typeface="+mn-ea"/>
              <a:cs typeface="+mn-cs"/>
            </a:rPr>
            <a:t>Activos</a:t>
          </a:r>
          <a:r>
            <a:rPr lang="pt-BR" sz="1100" b="1" baseline="0">
              <a:solidFill>
                <a:schemeClr val="lt1"/>
              </a:solidFill>
              <a:latin typeface="+mn-lt"/>
              <a:ea typeface="+mn-ea"/>
              <a:cs typeface="+mn-cs"/>
            </a:rPr>
            <a:t> Correntes</a:t>
          </a:r>
          <a:endParaRPr lang="pt-BR" sz="1100" b="1">
            <a:solidFill>
              <a:schemeClr val="lt1"/>
            </a:solidFill>
            <a:latin typeface="+mn-lt"/>
            <a:ea typeface="+mn-ea"/>
            <a:cs typeface="+mn-cs"/>
          </a:endParaRPr>
        </a:p>
      </xdr:txBody>
    </xdr:sp>
    <xdr:clientData/>
  </xdr:twoCellAnchor>
  <xdr:twoCellAnchor>
    <xdr:from>
      <xdr:col>3</xdr:col>
      <xdr:colOff>2413004</xdr:colOff>
      <xdr:row>8</xdr:row>
      <xdr:rowOff>54428</xdr:rowOff>
    </xdr:from>
    <xdr:to>
      <xdr:col>3</xdr:col>
      <xdr:colOff>3885598</xdr:colOff>
      <xdr:row>8</xdr:row>
      <xdr:rowOff>413658</xdr:rowOff>
    </xdr:to>
    <xdr:sp macro="" textlink="">
      <xdr:nvSpPr>
        <xdr:cNvPr id="19" name="Retângulo: Cantos Arredondados 18">
          <a:hlinkClick xmlns:r="http://schemas.openxmlformats.org/officeDocument/2006/relationships" r:id="rId3"/>
          <a:extLst>
            <a:ext uri="{FF2B5EF4-FFF2-40B4-BE49-F238E27FC236}">
              <a16:creationId xmlns:a16="http://schemas.microsoft.com/office/drawing/2014/main" id="{A4AAEF2F-6ECD-4681-8E76-D7F55F72B0DC}"/>
            </a:ext>
          </a:extLst>
        </xdr:cNvPr>
        <xdr:cNvSpPr/>
      </xdr:nvSpPr>
      <xdr:spPr>
        <a:xfrm>
          <a:off x="3947890" y="3124199"/>
          <a:ext cx="1472594" cy="359230"/>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lt1"/>
              </a:solidFill>
              <a:latin typeface="+mn-lt"/>
              <a:ea typeface="+mn-ea"/>
              <a:cs typeface="+mn-cs"/>
            </a:rPr>
            <a:t>Passivo Não</a:t>
          </a:r>
          <a:r>
            <a:rPr lang="pt-BR" sz="1100" b="1" baseline="0">
              <a:solidFill>
                <a:schemeClr val="lt1"/>
              </a:solidFill>
              <a:latin typeface="+mn-lt"/>
              <a:ea typeface="+mn-ea"/>
              <a:cs typeface="+mn-cs"/>
            </a:rPr>
            <a:t> Corrente</a:t>
          </a:r>
          <a:endParaRPr lang="pt-BR" sz="1100" b="1">
            <a:solidFill>
              <a:schemeClr val="lt1"/>
            </a:solidFill>
            <a:latin typeface="+mn-lt"/>
            <a:ea typeface="+mn-ea"/>
            <a:cs typeface="+mn-cs"/>
          </a:endParaRPr>
        </a:p>
      </xdr:txBody>
    </xdr:sp>
    <xdr:clientData/>
  </xdr:twoCellAnchor>
  <xdr:twoCellAnchor>
    <xdr:from>
      <xdr:col>3</xdr:col>
      <xdr:colOff>3927931</xdr:colOff>
      <xdr:row>8</xdr:row>
      <xdr:rowOff>54428</xdr:rowOff>
    </xdr:from>
    <xdr:to>
      <xdr:col>4</xdr:col>
      <xdr:colOff>527657</xdr:colOff>
      <xdr:row>8</xdr:row>
      <xdr:rowOff>413658</xdr:rowOff>
    </xdr:to>
    <xdr:sp macro="" textlink="">
      <xdr:nvSpPr>
        <xdr:cNvPr id="20" name="Retângulo: Cantos Arredondados 19">
          <a:hlinkClick xmlns:r="http://schemas.openxmlformats.org/officeDocument/2006/relationships" r:id="rId4"/>
          <a:extLst>
            <a:ext uri="{FF2B5EF4-FFF2-40B4-BE49-F238E27FC236}">
              <a16:creationId xmlns:a16="http://schemas.microsoft.com/office/drawing/2014/main" id="{7CE36BCA-6860-457B-9A57-76DDFDD57530}"/>
            </a:ext>
          </a:extLst>
        </xdr:cNvPr>
        <xdr:cNvSpPr/>
      </xdr:nvSpPr>
      <xdr:spPr>
        <a:xfrm>
          <a:off x="5462817" y="3124199"/>
          <a:ext cx="1813983" cy="359230"/>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lt1"/>
              </a:solidFill>
              <a:latin typeface="+mn-lt"/>
              <a:ea typeface="+mn-ea"/>
              <a:cs typeface="+mn-cs"/>
            </a:rPr>
            <a:t> Passivo Corrente</a:t>
          </a:r>
        </a:p>
      </xdr:txBody>
    </xdr:sp>
    <xdr:clientData/>
  </xdr:twoCellAnchor>
  <xdr:twoCellAnchor>
    <xdr:from>
      <xdr:col>4</xdr:col>
      <xdr:colOff>2083405</xdr:colOff>
      <xdr:row>8</xdr:row>
      <xdr:rowOff>54428</xdr:rowOff>
    </xdr:from>
    <xdr:to>
      <xdr:col>4</xdr:col>
      <xdr:colOff>3722914</xdr:colOff>
      <xdr:row>8</xdr:row>
      <xdr:rowOff>402772</xdr:rowOff>
    </xdr:to>
    <xdr:sp macro="" textlink="">
      <xdr:nvSpPr>
        <xdr:cNvPr id="21" name="Retângulo: Cantos Arredondados 20">
          <a:hlinkClick xmlns:r="http://schemas.openxmlformats.org/officeDocument/2006/relationships" r:id="rId5"/>
          <a:extLst>
            <a:ext uri="{FF2B5EF4-FFF2-40B4-BE49-F238E27FC236}">
              <a16:creationId xmlns:a16="http://schemas.microsoft.com/office/drawing/2014/main" id="{C7CB7091-76BE-426D-8F41-453DC386C94E}"/>
            </a:ext>
          </a:extLst>
        </xdr:cNvPr>
        <xdr:cNvSpPr/>
      </xdr:nvSpPr>
      <xdr:spPr>
        <a:xfrm>
          <a:off x="8832548" y="3124199"/>
          <a:ext cx="1639509" cy="348344"/>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lt1"/>
              </a:solidFill>
              <a:latin typeface="+mn-lt"/>
              <a:ea typeface="+mn-ea"/>
              <a:cs typeface="+mn-cs"/>
            </a:rPr>
            <a:t> Balanço </a:t>
          </a:r>
          <a:r>
            <a:rPr lang="pt-BR" sz="1400" b="1">
              <a:solidFill>
                <a:schemeClr val="lt1"/>
              </a:solidFill>
              <a:latin typeface="+mn-lt"/>
              <a:ea typeface="+mn-ea"/>
              <a:cs typeface="+mn-cs"/>
            </a:rPr>
            <a:t>Patrimonial</a:t>
          </a:r>
        </a:p>
      </xdr:txBody>
    </xdr:sp>
    <xdr:clientData/>
  </xdr:twoCellAnchor>
  <xdr:twoCellAnchor>
    <xdr:from>
      <xdr:col>4</xdr:col>
      <xdr:colOff>569990</xdr:colOff>
      <xdr:row>8</xdr:row>
      <xdr:rowOff>54428</xdr:rowOff>
    </xdr:from>
    <xdr:to>
      <xdr:col>4</xdr:col>
      <xdr:colOff>2041073</xdr:colOff>
      <xdr:row>8</xdr:row>
      <xdr:rowOff>413658</xdr:rowOff>
    </xdr:to>
    <xdr:sp macro="" textlink="">
      <xdr:nvSpPr>
        <xdr:cNvPr id="22" name="Retângulo: Cantos Arredondados 21">
          <a:hlinkClick xmlns:r="http://schemas.openxmlformats.org/officeDocument/2006/relationships" r:id="rId6"/>
          <a:extLst>
            <a:ext uri="{FF2B5EF4-FFF2-40B4-BE49-F238E27FC236}">
              <a16:creationId xmlns:a16="http://schemas.microsoft.com/office/drawing/2014/main" id="{8FB8413B-E9C3-4192-BA5C-372F5BFE5EC2}"/>
            </a:ext>
          </a:extLst>
        </xdr:cNvPr>
        <xdr:cNvSpPr/>
      </xdr:nvSpPr>
      <xdr:spPr>
        <a:xfrm>
          <a:off x="7319133" y="3124199"/>
          <a:ext cx="1471083" cy="359230"/>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lt1"/>
              </a:solidFill>
              <a:latin typeface="+mn-lt"/>
              <a:ea typeface="+mn-ea"/>
              <a:cs typeface="+mn-cs"/>
            </a:rPr>
            <a:t>Capital</a:t>
          </a:r>
          <a:r>
            <a:rPr lang="pt-BR" sz="1100" b="1" baseline="0">
              <a:solidFill>
                <a:schemeClr val="lt1"/>
              </a:solidFill>
              <a:latin typeface="+mn-lt"/>
              <a:ea typeface="+mn-ea"/>
              <a:cs typeface="+mn-cs"/>
            </a:rPr>
            <a:t> Próprio</a:t>
          </a:r>
          <a:endParaRPr lang="pt-BR" sz="1100" b="1">
            <a:solidFill>
              <a:schemeClr val="lt1"/>
            </a:solidFill>
            <a:latin typeface="+mn-lt"/>
            <a:ea typeface="+mn-ea"/>
            <a:cs typeface="+mn-cs"/>
          </a:endParaRPr>
        </a:p>
      </xdr:txBody>
    </xdr:sp>
    <xdr:clientData/>
  </xdr:twoCellAnchor>
  <xdr:twoCellAnchor>
    <xdr:from>
      <xdr:col>2</xdr:col>
      <xdr:colOff>0</xdr:colOff>
      <xdr:row>10</xdr:row>
      <xdr:rowOff>54428</xdr:rowOff>
    </xdr:from>
    <xdr:to>
      <xdr:col>3</xdr:col>
      <xdr:colOff>1143000</xdr:colOff>
      <xdr:row>10</xdr:row>
      <xdr:rowOff>391886</xdr:rowOff>
    </xdr:to>
    <xdr:sp macro="" textlink="">
      <xdr:nvSpPr>
        <xdr:cNvPr id="23" name="Retângulo: Cantos Arredondados 22">
          <a:hlinkClick xmlns:r="http://schemas.openxmlformats.org/officeDocument/2006/relationships" r:id="rId7"/>
          <a:extLst>
            <a:ext uri="{FF2B5EF4-FFF2-40B4-BE49-F238E27FC236}">
              <a16:creationId xmlns:a16="http://schemas.microsoft.com/office/drawing/2014/main" id="{80315E34-512C-4BDB-B6B1-7C0DED377D06}"/>
            </a:ext>
          </a:extLst>
        </xdr:cNvPr>
        <xdr:cNvSpPr/>
      </xdr:nvSpPr>
      <xdr:spPr>
        <a:xfrm>
          <a:off x="914400" y="4234542"/>
          <a:ext cx="1763486" cy="337458"/>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Proveitos</a:t>
          </a:r>
          <a:r>
            <a:rPr lang="pt-BR" sz="1100" b="1" baseline="0">
              <a:solidFill>
                <a:schemeClr val="bg1"/>
              </a:solidFill>
              <a:latin typeface="+mn-lt"/>
              <a:ea typeface="+mn-ea"/>
              <a:cs typeface="+mn-cs"/>
            </a:rPr>
            <a:t> por Natureza</a:t>
          </a:r>
          <a:endParaRPr lang="pt-BR" sz="1100" b="1">
            <a:solidFill>
              <a:schemeClr val="bg1"/>
            </a:solidFill>
            <a:latin typeface="+mn-lt"/>
            <a:ea typeface="+mn-ea"/>
            <a:cs typeface="+mn-cs"/>
          </a:endParaRPr>
        </a:p>
      </xdr:txBody>
    </xdr:sp>
    <xdr:clientData/>
  </xdr:twoCellAnchor>
  <xdr:twoCellAnchor>
    <xdr:from>
      <xdr:col>3</xdr:col>
      <xdr:colOff>1525506</xdr:colOff>
      <xdr:row>10</xdr:row>
      <xdr:rowOff>54428</xdr:rowOff>
    </xdr:from>
    <xdr:to>
      <xdr:col>3</xdr:col>
      <xdr:colOff>3211286</xdr:colOff>
      <xdr:row>10</xdr:row>
      <xdr:rowOff>381000</xdr:rowOff>
    </xdr:to>
    <xdr:sp macro="" textlink="">
      <xdr:nvSpPr>
        <xdr:cNvPr id="24" name="Retângulo: Cantos Arredondados 23">
          <a:hlinkClick xmlns:r="http://schemas.openxmlformats.org/officeDocument/2006/relationships" r:id="rId8"/>
          <a:extLst>
            <a:ext uri="{FF2B5EF4-FFF2-40B4-BE49-F238E27FC236}">
              <a16:creationId xmlns:a16="http://schemas.microsoft.com/office/drawing/2014/main" id="{B13E8EB5-9440-44CC-8AD8-2AF705CF9ECB}"/>
            </a:ext>
          </a:extLst>
        </xdr:cNvPr>
        <xdr:cNvSpPr/>
      </xdr:nvSpPr>
      <xdr:spPr>
        <a:xfrm>
          <a:off x="3060392" y="4234542"/>
          <a:ext cx="1685780" cy="326572"/>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lt1"/>
              </a:solidFill>
              <a:latin typeface="+mn-lt"/>
              <a:ea typeface="+mn-ea"/>
              <a:cs typeface="+mn-cs"/>
            </a:rPr>
            <a:t>Custos</a:t>
          </a:r>
          <a:r>
            <a:rPr lang="pt-BR" sz="1100" b="1" baseline="0">
              <a:solidFill>
                <a:schemeClr val="lt1"/>
              </a:solidFill>
              <a:latin typeface="+mn-lt"/>
              <a:ea typeface="+mn-ea"/>
              <a:cs typeface="+mn-cs"/>
            </a:rPr>
            <a:t> por Natureza</a:t>
          </a:r>
          <a:endParaRPr lang="pt-BR" sz="1100" b="1">
            <a:solidFill>
              <a:schemeClr val="lt1"/>
            </a:solidFill>
            <a:latin typeface="+mn-lt"/>
            <a:ea typeface="+mn-ea"/>
            <a:cs typeface="+mn-cs"/>
          </a:endParaRPr>
        </a:p>
      </xdr:txBody>
    </xdr:sp>
    <xdr:clientData/>
  </xdr:twoCellAnchor>
  <xdr:twoCellAnchor>
    <xdr:from>
      <xdr:col>3</xdr:col>
      <xdr:colOff>3447132</xdr:colOff>
      <xdr:row>10</xdr:row>
      <xdr:rowOff>68034</xdr:rowOff>
    </xdr:from>
    <xdr:to>
      <xdr:col>3</xdr:col>
      <xdr:colOff>4910201</xdr:colOff>
      <xdr:row>10</xdr:row>
      <xdr:rowOff>391885</xdr:rowOff>
    </xdr:to>
    <xdr:sp macro="" textlink="">
      <xdr:nvSpPr>
        <xdr:cNvPr id="25" name="Retângulo: Cantos Arredondados 24">
          <a:hlinkClick xmlns:r="http://schemas.openxmlformats.org/officeDocument/2006/relationships" r:id="rId9"/>
          <a:extLst>
            <a:ext uri="{FF2B5EF4-FFF2-40B4-BE49-F238E27FC236}">
              <a16:creationId xmlns:a16="http://schemas.microsoft.com/office/drawing/2014/main" id="{7AE4C8DD-CD75-42B0-B615-FE13995DEE84}"/>
            </a:ext>
          </a:extLst>
        </xdr:cNvPr>
        <xdr:cNvSpPr/>
      </xdr:nvSpPr>
      <xdr:spPr>
        <a:xfrm>
          <a:off x="4982018" y="4248148"/>
          <a:ext cx="1463069" cy="323851"/>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baseline="0">
              <a:solidFill>
                <a:schemeClr val="lt1"/>
              </a:solidFill>
              <a:latin typeface="+mn-lt"/>
              <a:ea typeface="+mn-ea"/>
              <a:cs typeface="+mn-cs"/>
            </a:rPr>
            <a:t>DRE</a:t>
          </a:r>
          <a:endParaRPr lang="pt-BR" sz="1100" b="1">
            <a:solidFill>
              <a:schemeClr val="lt1"/>
            </a:solidFill>
            <a:latin typeface="+mn-lt"/>
            <a:ea typeface="+mn-ea"/>
            <a:cs typeface="+mn-cs"/>
          </a:endParaRPr>
        </a:p>
      </xdr:txBody>
    </xdr:sp>
    <xdr:clientData/>
  </xdr:twoCellAnchor>
  <xdr:twoCellAnchor>
    <xdr:from>
      <xdr:col>2</xdr:col>
      <xdr:colOff>2722</xdr:colOff>
      <xdr:row>12</xdr:row>
      <xdr:rowOff>57149</xdr:rowOff>
    </xdr:from>
    <xdr:to>
      <xdr:col>3</xdr:col>
      <xdr:colOff>859972</xdr:colOff>
      <xdr:row>12</xdr:row>
      <xdr:rowOff>402771</xdr:rowOff>
    </xdr:to>
    <xdr:sp macro="" textlink="">
      <xdr:nvSpPr>
        <xdr:cNvPr id="26" name="Retângulo: Cantos Arredondados 25">
          <a:hlinkClick xmlns:r="http://schemas.openxmlformats.org/officeDocument/2006/relationships" r:id="rId10"/>
          <a:extLst>
            <a:ext uri="{FF2B5EF4-FFF2-40B4-BE49-F238E27FC236}">
              <a16:creationId xmlns:a16="http://schemas.microsoft.com/office/drawing/2014/main" id="{D875093F-439E-4EBB-B45F-6ABDAD4D4DFB}"/>
            </a:ext>
          </a:extLst>
        </xdr:cNvPr>
        <xdr:cNvSpPr/>
      </xdr:nvSpPr>
      <xdr:spPr>
        <a:xfrm>
          <a:off x="917122" y="5391149"/>
          <a:ext cx="1477736" cy="345622"/>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GRÁFICOS</a:t>
          </a:r>
        </a:p>
      </xdr:txBody>
    </xdr:sp>
    <xdr:clientData/>
  </xdr:twoCellAnchor>
  <xdr:twoCellAnchor>
    <xdr:from>
      <xdr:col>2</xdr:col>
      <xdr:colOff>0</xdr:colOff>
      <xdr:row>14</xdr:row>
      <xdr:rowOff>68034</xdr:rowOff>
    </xdr:from>
    <xdr:to>
      <xdr:col>3</xdr:col>
      <xdr:colOff>1483176</xdr:colOff>
      <xdr:row>14</xdr:row>
      <xdr:rowOff>435428</xdr:rowOff>
    </xdr:to>
    <xdr:sp macro="" textlink="">
      <xdr:nvSpPr>
        <xdr:cNvPr id="27" name="Retângulo: Cantos Arredondados 26">
          <a:hlinkClick xmlns:r="http://schemas.openxmlformats.org/officeDocument/2006/relationships" r:id="rId11"/>
          <a:extLst>
            <a:ext uri="{FF2B5EF4-FFF2-40B4-BE49-F238E27FC236}">
              <a16:creationId xmlns:a16="http://schemas.microsoft.com/office/drawing/2014/main" id="{7DFC5110-4215-4DD0-82B3-E38289B1A052}"/>
            </a:ext>
          </a:extLst>
        </xdr:cNvPr>
        <xdr:cNvSpPr/>
      </xdr:nvSpPr>
      <xdr:spPr>
        <a:xfrm>
          <a:off x="914400" y="6555920"/>
          <a:ext cx="2103662" cy="367394"/>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Endividamento</a:t>
          </a:r>
        </a:p>
      </xdr:txBody>
    </xdr:sp>
    <xdr:clientData/>
  </xdr:twoCellAnchor>
  <xdr:twoCellAnchor>
    <xdr:from>
      <xdr:col>3</xdr:col>
      <xdr:colOff>1525511</xdr:colOff>
      <xdr:row>14</xdr:row>
      <xdr:rowOff>68035</xdr:rowOff>
    </xdr:from>
    <xdr:to>
      <xdr:col>3</xdr:col>
      <xdr:colOff>3622521</xdr:colOff>
      <xdr:row>14</xdr:row>
      <xdr:rowOff>424542</xdr:rowOff>
    </xdr:to>
    <xdr:sp macro="" textlink="">
      <xdr:nvSpPr>
        <xdr:cNvPr id="28" name="Retângulo: Cantos Arredondados 27">
          <a:hlinkClick xmlns:r="http://schemas.openxmlformats.org/officeDocument/2006/relationships" r:id="rId12"/>
          <a:extLst>
            <a:ext uri="{FF2B5EF4-FFF2-40B4-BE49-F238E27FC236}">
              <a16:creationId xmlns:a16="http://schemas.microsoft.com/office/drawing/2014/main" id="{61EA6B37-C477-401E-8E7B-C8F789B2018F}"/>
            </a:ext>
          </a:extLst>
        </xdr:cNvPr>
        <xdr:cNvSpPr/>
      </xdr:nvSpPr>
      <xdr:spPr>
        <a:xfrm>
          <a:off x="3060397" y="6555921"/>
          <a:ext cx="2097010" cy="356507"/>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lt1"/>
              </a:solidFill>
              <a:latin typeface="+mn-lt"/>
              <a:ea typeface="+mn-ea"/>
              <a:cs typeface="+mn-cs"/>
            </a:rPr>
            <a:t>Liquidez</a:t>
          </a:r>
          <a:endParaRPr lang="pt-BR" sz="1100" b="1" baseline="0">
            <a:solidFill>
              <a:schemeClr val="lt1"/>
            </a:solidFill>
            <a:latin typeface="+mn-lt"/>
            <a:ea typeface="+mn-ea"/>
            <a:cs typeface="+mn-cs"/>
          </a:endParaRPr>
        </a:p>
      </xdr:txBody>
    </xdr:sp>
    <xdr:clientData/>
  </xdr:twoCellAnchor>
  <xdr:twoCellAnchor>
    <xdr:from>
      <xdr:col>3</xdr:col>
      <xdr:colOff>3664857</xdr:colOff>
      <xdr:row>14</xdr:row>
      <xdr:rowOff>68037</xdr:rowOff>
    </xdr:from>
    <xdr:to>
      <xdr:col>4</xdr:col>
      <xdr:colOff>700010</xdr:colOff>
      <xdr:row>14</xdr:row>
      <xdr:rowOff>413657</xdr:rowOff>
    </xdr:to>
    <xdr:sp macro="" textlink="">
      <xdr:nvSpPr>
        <xdr:cNvPr id="29" name="Retângulo: Cantos Arredondados 28">
          <a:hlinkClick xmlns:r="http://schemas.openxmlformats.org/officeDocument/2006/relationships" r:id="rId13"/>
          <a:extLst>
            <a:ext uri="{FF2B5EF4-FFF2-40B4-BE49-F238E27FC236}">
              <a16:creationId xmlns:a16="http://schemas.microsoft.com/office/drawing/2014/main" id="{DD867537-6EAA-40E9-8283-193B2E72BC34}"/>
            </a:ext>
          </a:extLst>
        </xdr:cNvPr>
        <xdr:cNvSpPr/>
      </xdr:nvSpPr>
      <xdr:spPr>
        <a:xfrm>
          <a:off x="5199743" y="6555923"/>
          <a:ext cx="2249410" cy="345620"/>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baseline="0">
              <a:solidFill>
                <a:schemeClr val="lt1"/>
              </a:solidFill>
              <a:latin typeface="+mn-lt"/>
              <a:ea typeface="+mn-ea"/>
              <a:cs typeface="+mn-cs"/>
            </a:rPr>
            <a:t>Operacional</a:t>
          </a:r>
        </a:p>
      </xdr:txBody>
    </xdr:sp>
    <xdr:clientData/>
  </xdr:twoCellAnchor>
  <xdr:twoCellAnchor>
    <xdr:from>
      <xdr:col>4</xdr:col>
      <xdr:colOff>742341</xdr:colOff>
      <xdr:row>14</xdr:row>
      <xdr:rowOff>68035</xdr:rowOff>
    </xdr:from>
    <xdr:to>
      <xdr:col>4</xdr:col>
      <xdr:colOff>2829826</xdr:colOff>
      <xdr:row>14</xdr:row>
      <xdr:rowOff>413656</xdr:rowOff>
    </xdr:to>
    <xdr:sp macro="" textlink="">
      <xdr:nvSpPr>
        <xdr:cNvPr id="30" name="Retângulo: Cantos Arredondados 29">
          <a:hlinkClick xmlns:r="http://schemas.openxmlformats.org/officeDocument/2006/relationships" r:id="rId14"/>
          <a:extLst>
            <a:ext uri="{FF2B5EF4-FFF2-40B4-BE49-F238E27FC236}">
              <a16:creationId xmlns:a16="http://schemas.microsoft.com/office/drawing/2014/main" id="{629D728E-A0D3-497B-A7EA-D201BFAE3975}"/>
            </a:ext>
          </a:extLst>
        </xdr:cNvPr>
        <xdr:cNvSpPr/>
      </xdr:nvSpPr>
      <xdr:spPr>
        <a:xfrm>
          <a:off x="7491484" y="6555921"/>
          <a:ext cx="2087485" cy="345621"/>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baseline="0">
              <a:solidFill>
                <a:schemeClr val="lt1"/>
              </a:solidFill>
              <a:latin typeface="+mn-lt"/>
              <a:ea typeface="+mn-ea"/>
              <a:cs typeface="+mn-cs"/>
            </a:rPr>
            <a:t>Rentabilidade</a:t>
          </a:r>
        </a:p>
      </xdr:txBody>
    </xdr:sp>
    <xdr:clientData/>
  </xdr:twoCellAnchor>
  <xdr:twoCellAnchor>
    <xdr:from>
      <xdr:col>2</xdr:col>
      <xdr:colOff>0</xdr:colOff>
      <xdr:row>18</xdr:row>
      <xdr:rowOff>68034</xdr:rowOff>
    </xdr:from>
    <xdr:to>
      <xdr:col>3</xdr:col>
      <xdr:colOff>1483176</xdr:colOff>
      <xdr:row>18</xdr:row>
      <xdr:rowOff>402771</xdr:rowOff>
    </xdr:to>
    <xdr:sp macro="" textlink="">
      <xdr:nvSpPr>
        <xdr:cNvPr id="32" name="Retângulo: Cantos Arredondados 31">
          <a:hlinkClick xmlns:r="http://schemas.openxmlformats.org/officeDocument/2006/relationships" r:id="rId15"/>
          <a:extLst>
            <a:ext uri="{FF2B5EF4-FFF2-40B4-BE49-F238E27FC236}">
              <a16:creationId xmlns:a16="http://schemas.microsoft.com/office/drawing/2014/main" id="{28DB6456-7F41-4D4C-806F-0586424ABD53}"/>
            </a:ext>
          </a:extLst>
        </xdr:cNvPr>
        <xdr:cNvSpPr/>
      </xdr:nvSpPr>
      <xdr:spPr>
        <a:xfrm>
          <a:off x="914400" y="7709805"/>
          <a:ext cx="2103662" cy="334737"/>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IMPRESSÃO</a:t>
          </a:r>
        </a:p>
      </xdr:txBody>
    </xdr:sp>
    <xdr:clientData/>
  </xdr:twoCellAnchor>
  <xdr:twoCellAnchor>
    <xdr:from>
      <xdr:col>2</xdr:col>
      <xdr:colOff>13608</xdr:colOff>
      <xdr:row>6</xdr:row>
      <xdr:rowOff>62593</xdr:rowOff>
    </xdr:from>
    <xdr:to>
      <xdr:col>3</xdr:col>
      <xdr:colOff>2068286</xdr:colOff>
      <xdr:row>6</xdr:row>
      <xdr:rowOff>375558</xdr:rowOff>
    </xdr:to>
    <xdr:sp macro="" textlink="">
      <xdr:nvSpPr>
        <xdr:cNvPr id="38" name="Retângulo: Cantos Arredondados 37">
          <a:hlinkClick xmlns:r="http://schemas.openxmlformats.org/officeDocument/2006/relationships" r:id="rId16"/>
          <a:extLst>
            <a:ext uri="{FF2B5EF4-FFF2-40B4-BE49-F238E27FC236}">
              <a16:creationId xmlns:a16="http://schemas.microsoft.com/office/drawing/2014/main" id="{60640CEF-AA83-48DD-9CA6-187181BEB282}"/>
            </a:ext>
          </a:extLst>
        </xdr:cNvPr>
        <xdr:cNvSpPr/>
      </xdr:nvSpPr>
      <xdr:spPr>
        <a:xfrm>
          <a:off x="928008" y="1956707"/>
          <a:ext cx="2675164" cy="31296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t-PT" sz="1200" b="1"/>
            <a:t>Plano de Contas</a:t>
          </a:r>
        </a:p>
      </xdr:txBody>
    </xdr:sp>
    <xdr:clientData/>
  </xdr:twoCellAnchor>
  <xdr:twoCellAnchor>
    <xdr:from>
      <xdr:col>3</xdr:col>
      <xdr:colOff>2536371</xdr:colOff>
      <xdr:row>6</xdr:row>
      <xdr:rowOff>68035</xdr:rowOff>
    </xdr:from>
    <xdr:to>
      <xdr:col>3</xdr:col>
      <xdr:colOff>5203371</xdr:colOff>
      <xdr:row>6</xdr:row>
      <xdr:rowOff>381000</xdr:rowOff>
    </xdr:to>
    <xdr:sp macro="" textlink="">
      <xdr:nvSpPr>
        <xdr:cNvPr id="39" name="Retângulo: Cantos Arredondados 38">
          <a:hlinkClick xmlns:r="http://schemas.openxmlformats.org/officeDocument/2006/relationships" r:id="rId17"/>
          <a:extLst>
            <a:ext uri="{FF2B5EF4-FFF2-40B4-BE49-F238E27FC236}">
              <a16:creationId xmlns:a16="http://schemas.microsoft.com/office/drawing/2014/main" id="{FFAB44FB-4E43-4527-91AA-472F4BB0CF66}"/>
            </a:ext>
          </a:extLst>
        </xdr:cNvPr>
        <xdr:cNvSpPr/>
      </xdr:nvSpPr>
      <xdr:spPr>
        <a:xfrm>
          <a:off x="4071257" y="1962149"/>
          <a:ext cx="2667000" cy="31296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t-PT" sz="1100" b="1"/>
            <a:t>Balancete</a:t>
          </a:r>
        </a:p>
      </xdr:txBody>
    </xdr:sp>
    <xdr:clientData/>
  </xdr:twoCellAnchor>
  <xdr:oneCellAnchor>
    <xdr:from>
      <xdr:col>0</xdr:col>
      <xdr:colOff>152400</xdr:colOff>
      <xdr:row>0</xdr:row>
      <xdr:rowOff>0</xdr:rowOff>
    </xdr:from>
    <xdr:ext cx="6457950" cy="742950"/>
    <xdr:sp macro="" textlink="">
      <xdr:nvSpPr>
        <xdr:cNvPr id="4" name="Retângulo 3">
          <a:extLst>
            <a:ext uri="{FF2B5EF4-FFF2-40B4-BE49-F238E27FC236}">
              <a16:creationId xmlns:a16="http://schemas.microsoft.com/office/drawing/2014/main" id="{9B5C75E0-694E-BA38-20D2-1E3CAA7724D5}"/>
            </a:ext>
          </a:extLst>
        </xdr:cNvPr>
        <xdr:cNvSpPr/>
      </xdr:nvSpPr>
      <xdr:spPr>
        <a:xfrm>
          <a:off x="152400" y="0"/>
          <a:ext cx="6457950" cy="742950"/>
        </a:xfrm>
        <a:prstGeom prst="rect">
          <a:avLst/>
        </a:prstGeom>
        <a:noFill/>
      </xdr:spPr>
      <xdr:txBody>
        <a:bodyPr wrap="square" lIns="91440" tIns="45720" rIns="91440" bIns="45720">
          <a:noAutofit/>
        </a:bodyPr>
        <a:lstStyle/>
        <a:p>
          <a:pPr algn="ctr"/>
          <a:r>
            <a:rPr lang="pt-PT" sz="36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DEMONSTRAÇÕES FINANCEIRAS</a:t>
          </a:r>
        </a:p>
      </xdr:txBody>
    </xdr:sp>
    <xdr:clientData/>
  </xdr:oneCellAnchor>
  <xdr:twoCellAnchor editAs="absolute">
    <xdr:from>
      <xdr:col>13</xdr:col>
      <xdr:colOff>260349</xdr:colOff>
      <xdr:row>1</xdr:row>
      <xdr:rowOff>241300</xdr:rowOff>
    </xdr:from>
    <xdr:to>
      <xdr:col>15</xdr:col>
      <xdr:colOff>379412</xdr:colOff>
      <xdr:row>5</xdr:row>
      <xdr:rowOff>95250</xdr:rowOff>
    </xdr:to>
    <xdr:pic>
      <xdr:nvPicPr>
        <xdr:cNvPr id="31" name="Imagem 30">
          <a:extLst>
            <a:ext uri="{FF2B5EF4-FFF2-40B4-BE49-F238E27FC236}">
              <a16:creationId xmlns:a16="http://schemas.microsoft.com/office/drawing/2014/main" id="{F3C76C6D-8268-4B47-B1D8-6AE7C86620F1}"/>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9475449" y="431800"/>
          <a:ext cx="1516063" cy="1263650"/>
        </a:xfrm>
        <a:prstGeom prst="rect">
          <a:avLst/>
        </a:prstGeom>
      </xdr:spPr>
    </xdr:pic>
    <xdr:clientData/>
  </xdr:twoCellAnchor>
  <xdr:twoCellAnchor editAs="oneCell">
    <xdr:from>
      <xdr:col>11</xdr:col>
      <xdr:colOff>600075</xdr:colOff>
      <xdr:row>1</xdr:row>
      <xdr:rowOff>28575</xdr:rowOff>
    </xdr:from>
    <xdr:to>
      <xdr:col>14</xdr:col>
      <xdr:colOff>57150</xdr:colOff>
      <xdr:row>3</xdr:row>
      <xdr:rowOff>285750</xdr:rowOff>
    </xdr:to>
    <xdr:pic>
      <xdr:nvPicPr>
        <xdr:cNvPr id="3" name="Imagem 2">
          <a:extLst>
            <a:ext uri="{FF2B5EF4-FFF2-40B4-BE49-F238E27FC236}">
              <a16:creationId xmlns:a16="http://schemas.microsoft.com/office/drawing/2014/main" id="{191BF586-C5CB-CDE6-61AF-4752E0CF45E9}"/>
            </a:ext>
          </a:extLst>
        </xdr:cNvPr>
        <xdr:cNvPicPr>
          <a:picLocks noChangeAspect="1"/>
        </xdr:cNvPicPr>
      </xdr:nvPicPr>
      <xdr:blipFill>
        <a:blip xmlns:r="http://schemas.openxmlformats.org/officeDocument/2006/relationships" r:embed="rId19"/>
        <a:stretch>
          <a:fillRect/>
        </a:stretch>
      </xdr:blipFill>
      <xdr:spPr>
        <a:xfrm>
          <a:off x="15697200" y="209550"/>
          <a:ext cx="1343025" cy="1238250"/>
        </a:xfrm>
        <a:prstGeom prst="rect">
          <a:avLst/>
        </a:prstGeom>
      </xdr:spPr>
    </xdr:pic>
    <xdr:clientData/>
  </xdr:twoCellAnchor>
  <xdr:twoCellAnchor>
    <xdr:from>
      <xdr:col>2</xdr:col>
      <xdr:colOff>0</xdr:colOff>
      <xdr:row>16</xdr:row>
      <xdr:rowOff>68034</xdr:rowOff>
    </xdr:from>
    <xdr:to>
      <xdr:col>3</xdr:col>
      <xdr:colOff>1483176</xdr:colOff>
      <xdr:row>16</xdr:row>
      <xdr:rowOff>402771</xdr:rowOff>
    </xdr:to>
    <xdr:sp macro="" textlink="">
      <xdr:nvSpPr>
        <xdr:cNvPr id="2" name="Retângulo: Cantos Arredondados 1">
          <a:hlinkClick xmlns:r="http://schemas.openxmlformats.org/officeDocument/2006/relationships" r:id="rId20"/>
          <a:extLst>
            <a:ext uri="{FF2B5EF4-FFF2-40B4-BE49-F238E27FC236}">
              <a16:creationId xmlns:a16="http://schemas.microsoft.com/office/drawing/2014/main" id="{BDCF5921-CE58-4F0B-A644-143712089D96}"/>
            </a:ext>
          </a:extLst>
        </xdr:cNvPr>
        <xdr:cNvSpPr/>
      </xdr:nvSpPr>
      <xdr:spPr>
        <a:xfrm>
          <a:off x="702469" y="9485878"/>
          <a:ext cx="2507113" cy="334737"/>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AVALIAÇÃO</a:t>
          </a:r>
          <a:r>
            <a:rPr lang="pt-BR" sz="1100" b="1" baseline="0">
              <a:solidFill>
                <a:schemeClr val="bg1"/>
              </a:solidFill>
              <a:latin typeface="+mn-lt"/>
              <a:ea typeface="+mn-ea"/>
              <a:cs typeface="+mn-cs"/>
            </a:rPr>
            <a:t> DA CONTA</a:t>
          </a:r>
          <a:endParaRPr lang="pt-BR" sz="1100" b="1">
            <a:solidFill>
              <a:schemeClr val="bg1"/>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27709</xdr:colOff>
      <xdr:row>0</xdr:row>
      <xdr:rowOff>69273</xdr:rowOff>
    </xdr:from>
    <xdr:to>
      <xdr:col>2</xdr:col>
      <xdr:colOff>37233</xdr:colOff>
      <xdr:row>0</xdr:row>
      <xdr:rowOff>272762</xdr:rowOff>
    </xdr:to>
    <xdr:sp macro="" textlink="">
      <xdr:nvSpPr>
        <xdr:cNvPr id="2" name="Seta: Pentágono 1">
          <a:hlinkClick xmlns:r="http://schemas.openxmlformats.org/officeDocument/2006/relationships" r:id="rId1"/>
          <a:extLst>
            <a:ext uri="{FF2B5EF4-FFF2-40B4-BE49-F238E27FC236}">
              <a16:creationId xmlns:a16="http://schemas.microsoft.com/office/drawing/2014/main" id="{66127538-F253-48CC-BFFA-C921C465A3A2}"/>
            </a:ext>
          </a:extLst>
        </xdr:cNvPr>
        <xdr:cNvSpPr/>
      </xdr:nvSpPr>
      <xdr:spPr>
        <a:xfrm flipH="1">
          <a:off x="1246909" y="69273"/>
          <a:ext cx="619124" cy="203489"/>
        </a:xfrm>
        <a:prstGeom prst="homePlat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1100" b="1"/>
            <a:t>Menu</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43957</xdr:colOff>
      <xdr:row>0</xdr:row>
      <xdr:rowOff>58614</xdr:rowOff>
    </xdr:from>
    <xdr:to>
      <xdr:col>2</xdr:col>
      <xdr:colOff>329709</xdr:colOff>
      <xdr:row>0</xdr:row>
      <xdr:rowOff>266700</xdr:rowOff>
    </xdr:to>
    <xdr:sp macro="" textlink="">
      <xdr:nvSpPr>
        <xdr:cNvPr id="2" name="Seta: Pentágono 1">
          <a:hlinkClick xmlns:r="http://schemas.openxmlformats.org/officeDocument/2006/relationships" r:id="rId1"/>
          <a:extLst>
            <a:ext uri="{FF2B5EF4-FFF2-40B4-BE49-F238E27FC236}">
              <a16:creationId xmlns:a16="http://schemas.microsoft.com/office/drawing/2014/main" id="{92812B0A-6742-483D-8344-010A4988DDBB}"/>
            </a:ext>
          </a:extLst>
        </xdr:cNvPr>
        <xdr:cNvSpPr/>
      </xdr:nvSpPr>
      <xdr:spPr>
        <a:xfrm flipH="1">
          <a:off x="623077" y="58614"/>
          <a:ext cx="788672" cy="208086"/>
        </a:xfrm>
        <a:prstGeom prst="homePlat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1100" b="1"/>
            <a:t>Menu</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2</xdr:col>
      <xdr:colOff>158932</xdr:colOff>
      <xdr:row>0</xdr:row>
      <xdr:rowOff>45721</xdr:rowOff>
    </xdr:from>
    <xdr:to>
      <xdr:col>3</xdr:col>
      <xdr:colOff>68580</xdr:colOff>
      <xdr:row>0</xdr:row>
      <xdr:rowOff>304801</xdr:rowOff>
    </xdr:to>
    <xdr:sp macro="" textlink="">
      <xdr:nvSpPr>
        <xdr:cNvPr id="21" name="Seta: Pentágono 20">
          <a:hlinkClick xmlns:r="http://schemas.openxmlformats.org/officeDocument/2006/relationships" r:id="rId1"/>
          <a:extLst>
            <a:ext uri="{FF2B5EF4-FFF2-40B4-BE49-F238E27FC236}">
              <a16:creationId xmlns:a16="http://schemas.microsoft.com/office/drawing/2014/main" id="{F2C22DB2-AFA7-4455-B368-03F3A3729599}"/>
            </a:ext>
          </a:extLst>
        </xdr:cNvPr>
        <xdr:cNvSpPr>
          <a:spLocks/>
        </xdr:cNvSpPr>
      </xdr:nvSpPr>
      <xdr:spPr>
        <a:xfrm flipH="1">
          <a:off x="387532" y="45721"/>
          <a:ext cx="938348" cy="259080"/>
        </a:xfrm>
        <a:prstGeom prst="homePlate">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MENU</a:t>
          </a: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30478</xdr:colOff>
      <xdr:row>0</xdr:row>
      <xdr:rowOff>53341</xdr:rowOff>
    </xdr:from>
    <xdr:to>
      <xdr:col>2</xdr:col>
      <xdr:colOff>914399</xdr:colOff>
      <xdr:row>0</xdr:row>
      <xdr:rowOff>297180</xdr:rowOff>
    </xdr:to>
    <xdr:sp macro="" textlink="">
      <xdr:nvSpPr>
        <xdr:cNvPr id="26" name="Seta: Pentágono 25">
          <a:hlinkClick xmlns:r="http://schemas.openxmlformats.org/officeDocument/2006/relationships" r:id="rId1"/>
          <a:extLst>
            <a:ext uri="{FF2B5EF4-FFF2-40B4-BE49-F238E27FC236}">
              <a16:creationId xmlns:a16="http://schemas.microsoft.com/office/drawing/2014/main" id="{5D572507-AB23-4DE9-8F91-6700B4489F2C}"/>
            </a:ext>
          </a:extLst>
        </xdr:cNvPr>
        <xdr:cNvSpPr>
          <a:spLocks/>
        </xdr:cNvSpPr>
      </xdr:nvSpPr>
      <xdr:spPr>
        <a:xfrm flipH="1">
          <a:off x="251458" y="53341"/>
          <a:ext cx="883921" cy="243839"/>
        </a:xfrm>
        <a:prstGeom prst="homePlate">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MENU</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120828</xdr:colOff>
      <xdr:row>0</xdr:row>
      <xdr:rowOff>38100</xdr:rowOff>
    </xdr:from>
    <xdr:to>
      <xdr:col>2</xdr:col>
      <xdr:colOff>952499</xdr:colOff>
      <xdr:row>0</xdr:row>
      <xdr:rowOff>297179</xdr:rowOff>
    </xdr:to>
    <xdr:sp macro="" textlink="">
      <xdr:nvSpPr>
        <xdr:cNvPr id="20" name="Seta: Pentágono 19">
          <a:hlinkClick xmlns:r="http://schemas.openxmlformats.org/officeDocument/2006/relationships" r:id="rId1"/>
          <a:extLst>
            <a:ext uri="{FF2B5EF4-FFF2-40B4-BE49-F238E27FC236}">
              <a16:creationId xmlns:a16="http://schemas.microsoft.com/office/drawing/2014/main" id="{33E86629-2D24-4D01-8788-139014B6EBA4}"/>
            </a:ext>
          </a:extLst>
        </xdr:cNvPr>
        <xdr:cNvSpPr>
          <a:spLocks/>
        </xdr:cNvSpPr>
      </xdr:nvSpPr>
      <xdr:spPr>
        <a:xfrm flipH="1">
          <a:off x="349428" y="38100"/>
          <a:ext cx="831671" cy="259079"/>
        </a:xfrm>
        <a:prstGeom prst="homePlate">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MENU</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108857</xdr:colOff>
      <xdr:row>0</xdr:row>
      <xdr:rowOff>38100</xdr:rowOff>
    </xdr:from>
    <xdr:to>
      <xdr:col>3</xdr:col>
      <xdr:colOff>179628</xdr:colOff>
      <xdr:row>0</xdr:row>
      <xdr:rowOff>295275</xdr:rowOff>
    </xdr:to>
    <xdr:sp macro="" textlink="">
      <xdr:nvSpPr>
        <xdr:cNvPr id="20" name="Seta: Pentágono 19">
          <a:hlinkClick xmlns:r="http://schemas.openxmlformats.org/officeDocument/2006/relationships" r:id="rId1"/>
          <a:extLst>
            <a:ext uri="{FF2B5EF4-FFF2-40B4-BE49-F238E27FC236}">
              <a16:creationId xmlns:a16="http://schemas.microsoft.com/office/drawing/2014/main" id="{8184B666-4321-4DBB-86DF-CB18EF868E73}"/>
            </a:ext>
          </a:extLst>
        </xdr:cNvPr>
        <xdr:cNvSpPr>
          <a:spLocks/>
        </xdr:cNvSpPr>
      </xdr:nvSpPr>
      <xdr:spPr>
        <a:xfrm flipH="1">
          <a:off x="337457" y="38100"/>
          <a:ext cx="1099471" cy="257175"/>
        </a:xfrm>
        <a:prstGeom prst="homePlate">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MENU</a:t>
          </a:r>
        </a:p>
      </xdr:txBody>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2</xdr:col>
      <xdr:colOff>146957</xdr:colOff>
      <xdr:row>0</xdr:row>
      <xdr:rowOff>38100</xdr:rowOff>
    </xdr:from>
    <xdr:to>
      <xdr:col>3</xdr:col>
      <xdr:colOff>217728</xdr:colOff>
      <xdr:row>0</xdr:row>
      <xdr:rowOff>295275</xdr:rowOff>
    </xdr:to>
    <xdr:sp macro="" textlink="">
      <xdr:nvSpPr>
        <xdr:cNvPr id="20" name="Seta: Pentágono 19">
          <a:hlinkClick xmlns:r="http://schemas.openxmlformats.org/officeDocument/2006/relationships" r:id="rId1"/>
          <a:extLst>
            <a:ext uri="{FF2B5EF4-FFF2-40B4-BE49-F238E27FC236}">
              <a16:creationId xmlns:a16="http://schemas.microsoft.com/office/drawing/2014/main" id="{95240730-4861-4979-8F53-EC5815C56434}"/>
            </a:ext>
          </a:extLst>
        </xdr:cNvPr>
        <xdr:cNvSpPr>
          <a:spLocks/>
        </xdr:cNvSpPr>
      </xdr:nvSpPr>
      <xdr:spPr>
        <a:xfrm flipH="1">
          <a:off x="386443" y="38100"/>
          <a:ext cx="1104914" cy="257175"/>
        </a:xfrm>
        <a:prstGeom prst="homePlate">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MENU</a:t>
          </a:r>
        </a:p>
      </xdr:txBody>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2</xdr:col>
      <xdr:colOff>122464</xdr:colOff>
      <xdr:row>0</xdr:row>
      <xdr:rowOff>45721</xdr:rowOff>
    </xdr:from>
    <xdr:to>
      <xdr:col>2</xdr:col>
      <xdr:colOff>996314</xdr:colOff>
      <xdr:row>0</xdr:row>
      <xdr:rowOff>297181</xdr:rowOff>
    </xdr:to>
    <xdr:sp macro="" textlink="">
      <xdr:nvSpPr>
        <xdr:cNvPr id="23" name="Seta: Pentágono 22">
          <a:hlinkClick xmlns:r="http://schemas.openxmlformats.org/officeDocument/2006/relationships" r:id="rId1"/>
          <a:extLst>
            <a:ext uri="{FF2B5EF4-FFF2-40B4-BE49-F238E27FC236}">
              <a16:creationId xmlns:a16="http://schemas.microsoft.com/office/drawing/2014/main" id="{2E9F4A16-B01A-4424-886D-94D79F39C8CA}"/>
            </a:ext>
          </a:extLst>
        </xdr:cNvPr>
        <xdr:cNvSpPr>
          <a:spLocks/>
        </xdr:cNvSpPr>
      </xdr:nvSpPr>
      <xdr:spPr>
        <a:xfrm flipH="1">
          <a:off x="351064" y="45721"/>
          <a:ext cx="883375" cy="251460"/>
        </a:xfrm>
        <a:prstGeom prst="homePlate">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MENU</a:t>
          </a:r>
        </a:p>
      </xdr:txBody>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2</xdr:col>
      <xdr:colOff>143689</xdr:colOff>
      <xdr:row>0</xdr:row>
      <xdr:rowOff>53340</xdr:rowOff>
    </xdr:from>
    <xdr:to>
      <xdr:col>3</xdr:col>
      <xdr:colOff>114298</xdr:colOff>
      <xdr:row>0</xdr:row>
      <xdr:rowOff>281939</xdr:rowOff>
    </xdr:to>
    <xdr:sp macro="" textlink="">
      <xdr:nvSpPr>
        <xdr:cNvPr id="15" name="Seta: Pentágono 14">
          <a:hlinkClick xmlns:r="http://schemas.openxmlformats.org/officeDocument/2006/relationships" r:id="rId1"/>
          <a:extLst>
            <a:ext uri="{FF2B5EF4-FFF2-40B4-BE49-F238E27FC236}">
              <a16:creationId xmlns:a16="http://schemas.microsoft.com/office/drawing/2014/main" id="{26A5CD16-8E1C-4232-A00C-63E2908DDC9F}"/>
            </a:ext>
          </a:extLst>
        </xdr:cNvPr>
        <xdr:cNvSpPr>
          <a:spLocks/>
        </xdr:cNvSpPr>
      </xdr:nvSpPr>
      <xdr:spPr>
        <a:xfrm flipH="1">
          <a:off x="372289" y="53340"/>
          <a:ext cx="999309" cy="228599"/>
        </a:xfrm>
        <a:prstGeom prst="homePlate">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MENU</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158930</xdr:colOff>
      <xdr:row>0</xdr:row>
      <xdr:rowOff>45721</xdr:rowOff>
    </xdr:from>
    <xdr:to>
      <xdr:col>3</xdr:col>
      <xdr:colOff>53339</xdr:colOff>
      <xdr:row>0</xdr:row>
      <xdr:rowOff>274320</xdr:rowOff>
    </xdr:to>
    <xdr:sp macro="" textlink="">
      <xdr:nvSpPr>
        <xdr:cNvPr id="20" name="Seta: Pentágono 19">
          <a:hlinkClick xmlns:r="http://schemas.openxmlformats.org/officeDocument/2006/relationships" r:id="rId1"/>
          <a:extLst>
            <a:ext uri="{FF2B5EF4-FFF2-40B4-BE49-F238E27FC236}">
              <a16:creationId xmlns:a16="http://schemas.microsoft.com/office/drawing/2014/main" id="{72A42193-EBC3-4F95-AC61-C1E3BAE312A6}"/>
            </a:ext>
          </a:extLst>
        </xdr:cNvPr>
        <xdr:cNvSpPr>
          <a:spLocks/>
        </xdr:cNvSpPr>
      </xdr:nvSpPr>
      <xdr:spPr>
        <a:xfrm flipH="1">
          <a:off x="387530" y="45721"/>
          <a:ext cx="923109" cy="228599"/>
        </a:xfrm>
        <a:prstGeom prst="homePlate">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MENU</a:t>
          </a:r>
        </a:p>
      </xdr:txBody>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xdr:col>
      <xdr:colOff>247106</xdr:colOff>
      <xdr:row>0</xdr:row>
      <xdr:rowOff>53341</xdr:rowOff>
    </xdr:from>
    <xdr:to>
      <xdr:col>3</xdr:col>
      <xdr:colOff>121920</xdr:colOff>
      <xdr:row>0</xdr:row>
      <xdr:rowOff>304801</xdr:rowOff>
    </xdr:to>
    <xdr:sp macro="" textlink="">
      <xdr:nvSpPr>
        <xdr:cNvPr id="20" name="Seta: Pentágono 19">
          <a:hlinkClick xmlns:r="http://schemas.openxmlformats.org/officeDocument/2006/relationships" r:id="rId1"/>
          <a:extLst>
            <a:ext uri="{FF2B5EF4-FFF2-40B4-BE49-F238E27FC236}">
              <a16:creationId xmlns:a16="http://schemas.microsoft.com/office/drawing/2014/main" id="{384B7F00-E58F-412D-9844-5C7F67F1289D}"/>
            </a:ext>
          </a:extLst>
        </xdr:cNvPr>
        <xdr:cNvSpPr>
          <a:spLocks/>
        </xdr:cNvSpPr>
      </xdr:nvSpPr>
      <xdr:spPr>
        <a:xfrm flipH="1">
          <a:off x="475706" y="53341"/>
          <a:ext cx="903514" cy="251460"/>
        </a:xfrm>
        <a:prstGeom prst="homePlate">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MENU</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2</xdr:colOff>
      <xdr:row>14</xdr:row>
      <xdr:rowOff>2</xdr:rowOff>
    </xdr:from>
    <xdr:to>
      <xdr:col>10</xdr:col>
      <xdr:colOff>1248836</xdr:colOff>
      <xdr:row>20</xdr:row>
      <xdr:rowOff>0</xdr:rowOff>
    </xdr:to>
    <xdr:graphicFrame macro="">
      <xdr:nvGraphicFramePr>
        <xdr:cNvPr id="23" name="Gráfico 22">
          <a:extLst>
            <a:ext uri="{FF2B5EF4-FFF2-40B4-BE49-F238E27FC236}">
              <a16:creationId xmlns:a16="http://schemas.microsoft.com/office/drawing/2014/main" id="{00000000-0008-0000-0A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xdr:row>
      <xdr:rowOff>0</xdr:rowOff>
    </xdr:from>
    <xdr:to>
      <xdr:col>10</xdr:col>
      <xdr:colOff>1248834</xdr:colOff>
      <xdr:row>10</xdr:row>
      <xdr:rowOff>10584</xdr:rowOff>
    </xdr:to>
    <xdr:graphicFrame macro="">
      <xdr:nvGraphicFramePr>
        <xdr:cNvPr id="24" name="Gráfico 23">
          <a:extLst>
            <a:ext uri="{FF2B5EF4-FFF2-40B4-BE49-F238E27FC236}">
              <a16:creationId xmlns:a16="http://schemas.microsoft.com/office/drawing/2014/main" id="{00000000-0008-0000-0A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4233</xdr:colOff>
      <xdr:row>24</xdr:row>
      <xdr:rowOff>4230</xdr:rowOff>
    </xdr:from>
    <xdr:to>
      <xdr:col>10</xdr:col>
      <xdr:colOff>1257300</xdr:colOff>
      <xdr:row>29</xdr:row>
      <xdr:rowOff>380999</xdr:rowOff>
    </xdr:to>
    <xdr:graphicFrame macro="">
      <xdr:nvGraphicFramePr>
        <xdr:cNvPr id="26" name="Gráfico 25">
          <a:extLst>
            <a:ext uri="{FF2B5EF4-FFF2-40B4-BE49-F238E27FC236}">
              <a16:creationId xmlns:a16="http://schemas.microsoft.com/office/drawing/2014/main" id="{00000000-0008-0000-0A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252941</xdr:colOff>
      <xdr:row>34</xdr:row>
      <xdr:rowOff>2116</xdr:rowOff>
    </xdr:from>
    <xdr:to>
      <xdr:col>10</xdr:col>
      <xdr:colOff>1258358</xdr:colOff>
      <xdr:row>40</xdr:row>
      <xdr:rowOff>0</xdr:rowOff>
    </xdr:to>
    <xdr:graphicFrame macro="">
      <xdr:nvGraphicFramePr>
        <xdr:cNvPr id="27" name="Gráfico 26">
          <a:extLst>
            <a:ext uri="{FF2B5EF4-FFF2-40B4-BE49-F238E27FC236}">
              <a16:creationId xmlns:a16="http://schemas.microsoft.com/office/drawing/2014/main" id="{00000000-0008-0000-0A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250825</xdr:colOff>
      <xdr:row>43</xdr:row>
      <xdr:rowOff>380999</xdr:rowOff>
    </xdr:from>
    <xdr:to>
      <xdr:col>5</xdr:col>
      <xdr:colOff>1182158</xdr:colOff>
      <xdr:row>50</xdr:row>
      <xdr:rowOff>0</xdr:rowOff>
    </xdr:to>
    <xdr:graphicFrame macro="">
      <xdr:nvGraphicFramePr>
        <xdr:cNvPr id="28" name="Gráfico 27">
          <a:extLst>
            <a:ext uri="{FF2B5EF4-FFF2-40B4-BE49-F238E27FC236}">
              <a16:creationId xmlns:a16="http://schemas.microsoft.com/office/drawing/2014/main" id="{00000000-0008-0000-0A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1369483</xdr:colOff>
      <xdr:row>44</xdr:row>
      <xdr:rowOff>2117</xdr:rowOff>
    </xdr:from>
    <xdr:to>
      <xdr:col>10</xdr:col>
      <xdr:colOff>1274235</xdr:colOff>
      <xdr:row>50</xdr:row>
      <xdr:rowOff>0</xdr:rowOff>
    </xdr:to>
    <xdr:graphicFrame macro="">
      <xdr:nvGraphicFramePr>
        <xdr:cNvPr id="29" name="Gráfico 28">
          <a:extLst>
            <a:ext uri="{FF2B5EF4-FFF2-40B4-BE49-F238E27FC236}">
              <a16:creationId xmlns:a16="http://schemas.microsoft.com/office/drawing/2014/main" id="{00000000-0008-0000-0A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xdr:colOff>
      <xdr:row>54</xdr:row>
      <xdr:rowOff>1</xdr:rowOff>
    </xdr:from>
    <xdr:to>
      <xdr:col>10</xdr:col>
      <xdr:colOff>1248835</xdr:colOff>
      <xdr:row>60</xdr:row>
      <xdr:rowOff>0</xdr:rowOff>
    </xdr:to>
    <xdr:graphicFrame macro="">
      <xdr:nvGraphicFramePr>
        <xdr:cNvPr id="31" name="Gráfico 30">
          <a:extLst>
            <a:ext uri="{FF2B5EF4-FFF2-40B4-BE49-F238E27FC236}">
              <a16:creationId xmlns:a16="http://schemas.microsoft.com/office/drawing/2014/main" id="{00000000-0008-0000-0A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63</xdr:row>
      <xdr:rowOff>380999</xdr:rowOff>
    </xdr:from>
    <xdr:to>
      <xdr:col>10</xdr:col>
      <xdr:colOff>1259417</xdr:colOff>
      <xdr:row>70</xdr:row>
      <xdr:rowOff>0</xdr:rowOff>
    </xdr:to>
    <xdr:graphicFrame macro="">
      <xdr:nvGraphicFramePr>
        <xdr:cNvPr id="32" name="Gráfico 31">
          <a:extLst>
            <a:ext uri="{FF2B5EF4-FFF2-40B4-BE49-F238E27FC236}">
              <a16:creationId xmlns:a16="http://schemas.microsoft.com/office/drawing/2014/main" id="{00000000-0008-0000-0A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xdr:colOff>
      <xdr:row>74</xdr:row>
      <xdr:rowOff>1</xdr:rowOff>
    </xdr:from>
    <xdr:to>
      <xdr:col>5</xdr:col>
      <xdr:colOff>1185334</xdr:colOff>
      <xdr:row>80</xdr:row>
      <xdr:rowOff>0</xdr:rowOff>
    </xdr:to>
    <xdr:graphicFrame macro="">
      <xdr:nvGraphicFramePr>
        <xdr:cNvPr id="33" name="Gráfico 32">
          <a:extLst>
            <a:ext uri="{FF2B5EF4-FFF2-40B4-BE49-F238E27FC236}">
              <a16:creationId xmlns:a16="http://schemas.microsoft.com/office/drawing/2014/main" id="{00000000-0008-0000-0A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0</xdr:colOff>
      <xdr:row>73</xdr:row>
      <xdr:rowOff>380999</xdr:rowOff>
    </xdr:from>
    <xdr:to>
      <xdr:col>10</xdr:col>
      <xdr:colOff>1291168</xdr:colOff>
      <xdr:row>80</xdr:row>
      <xdr:rowOff>0</xdr:rowOff>
    </xdr:to>
    <xdr:graphicFrame macro="">
      <xdr:nvGraphicFramePr>
        <xdr:cNvPr id="34" name="Gráfico 33">
          <a:extLst>
            <a:ext uri="{FF2B5EF4-FFF2-40B4-BE49-F238E27FC236}">
              <a16:creationId xmlns:a16="http://schemas.microsoft.com/office/drawing/2014/main" id="{00000000-0008-0000-0A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0</xdr:colOff>
      <xdr:row>10</xdr:row>
      <xdr:rowOff>9526</xdr:rowOff>
    </xdr:from>
    <xdr:to>
      <xdr:col>10</xdr:col>
      <xdr:colOff>1248834</xdr:colOff>
      <xdr:row>12</xdr:row>
      <xdr:rowOff>1</xdr:rowOff>
    </xdr:to>
    <xdr:graphicFrame macro="">
      <xdr:nvGraphicFramePr>
        <xdr:cNvPr id="35" name="Gráfico 34">
          <a:extLst>
            <a:ext uri="{FF2B5EF4-FFF2-40B4-BE49-F238E27FC236}">
              <a16:creationId xmlns:a16="http://schemas.microsoft.com/office/drawing/2014/main" id="{00000000-0008-0000-0A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0</xdr:colOff>
      <xdr:row>20</xdr:row>
      <xdr:rowOff>0</xdr:rowOff>
    </xdr:from>
    <xdr:to>
      <xdr:col>10</xdr:col>
      <xdr:colOff>1248834</xdr:colOff>
      <xdr:row>21</xdr:row>
      <xdr:rowOff>371475</xdr:rowOff>
    </xdr:to>
    <xdr:graphicFrame macro="">
      <xdr:nvGraphicFramePr>
        <xdr:cNvPr id="36" name="Gráfico 35">
          <a:extLst>
            <a:ext uri="{FF2B5EF4-FFF2-40B4-BE49-F238E27FC236}">
              <a16:creationId xmlns:a16="http://schemas.microsoft.com/office/drawing/2014/main" id="{00000000-0008-0000-0A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0</xdr:colOff>
      <xdr:row>30</xdr:row>
      <xdr:rowOff>0</xdr:rowOff>
    </xdr:from>
    <xdr:to>
      <xdr:col>10</xdr:col>
      <xdr:colOff>1259417</xdr:colOff>
      <xdr:row>31</xdr:row>
      <xdr:rowOff>371475</xdr:rowOff>
    </xdr:to>
    <xdr:graphicFrame macro="">
      <xdr:nvGraphicFramePr>
        <xdr:cNvPr id="37" name="Gráfico 36">
          <a:extLst>
            <a:ext uri="{FF2B5EF4-FFF2-40B4-BE49-F238E27FC236}">
              <a16:creationId xmlns:a16="http://schemas.microsoft.com/office/drawing/2014/main" id="{00000000-0008-0000-0A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0</xdr:colOff>
      <xdr:row>40</xdr:row>
      <xdr:rowOff>0</xdr:rowOff>
    </xdr:from>
    <xdr:to>
      <xdr:col>10</xdr:col>
      <xdr:colOff>1259417</xdr:colOff>
      <xdr:row>41</xdr:row>
      <xdr:rowOff>371475</xdr:rowOff>
    </xdr:to>
    <xdr:graphicFrame macro="">
      <xdr:nvGraphicFramePr>
        <xdr:cNvPr id="38" name="Gráfico 37">
          <a:extLst>
            <a:ext uri="{FF2B5EF4-FFF2-40B4-BE49-F238E27FC236}">
              <a16:creationId xmlns:a16="http://schemas.microsoft.com/office/drawing/2014/main" id="{00000000-0008-0000-0A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0</xdr:colOff>
      <xdr:row>50</xdr:row>
      <xdr:rowOff>0</xdr:rowOff>
    </xdr:from>
    <xdr:to>
      <xdr:col>5</xdr:col>
      <xdr:colOff>1185333</xdr:colOff>
      <xdr:row>51</xdr:row>
      <xdr:rowOff>371475</xdr:rowOff>
    </xdr:to>
    <xdr:graphicFrame macro="">
      <xdr:nvGraphicFramePr>
        <xdr:cNvPr id="41" name="Gráfico 40">
          <a:extLst>
            <a:ext uri="{FF2B5EF4-FFF2-40B4-BE49-F238E27FC236}">
              <a16:creationId xmlns:a16="http://schemas.microsoft.com/office/drawing/2014/main" id="{00000000-0008-0000-0A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1365250</xdr:colOff>
      <xdr:row>50</xdr:row>
      <xdr:rowOff>0</xdr:rowOff>
    </xdr:from>
    <xdr:to>
      <xdr:col>10</xdr:col>
      <xdr:colOff>1270000</xdr:colOff>
      <xdr:row>51</xdr:row>
      <xdr:rowOff>371475</xdr:rowOff>
    </xdr:to>
    <xdr:graphicFrame macro="">
      <xdr:nvGraphicFramePr>
        <xdr:cNvPr id="42" name="Gráfico 41">
          <a:extLst>
            <a:ext uri="{FF2B5EF4-FFF2-40B4-BE49-F238E27FC236}">
              <a16:creationId xmlns:a16="http://schemas.microsoft.com/office/drawing/2014/main" id="{00000000-0008-0000-0A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0</xdr:colOff>
      <xdr:row>60</xdr:row>
      <xdr:rowOff>0</xdr:rowOff>
    </xdr:from>
    <xdr:to>
      <xdr:col>10</xdr:col>
      <xdr:colOff>1248834</xdr:colOff>
      <xdr:row>61</xdr:row>
      <xdr:rowOff>371475</xdr:rowOff>
    </xdr:to>
    <xdr:graphicFrame macro="">
      <xdr:nvGraphicFramePr>
        <xdr:cNvPr id="44" name="Gráfico 43">
          <a:extLst>
            <a:ext uri="{FF2B5EF4-FFF2-40B4-BE49-F238E27FC236}">
              <a16:creationId xmlns:a16="http://schemas.microsoft.com/office/drawing/2014/main" id="{00000000-0008-0000-0A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0</xdr:colOff>
      <xdr:row>70</xdr:row>
      <xdr:rowOff>0</xdr:rowOff>
    </xdr:from>
    <xdr:to>
      <xdr:col>10</xdr:col>
      <xdr:colOff>1259417</xdr:colOff>
      <xdr:row>71</xdr:row>
      <xdr:rowOff>371475</xdr:rowOff>
    </xdr:to>
    <xdr:graphicFrame macro="">
      <xdr:nvGraphicFramePr>
        <xdr:cNvPr id="45" name="Gráfico 44">
          <a:extLst>
            <a:ext uri="{FF2B5EF4-FFF2-40B4-BE49-F238E27FC236}">
              <a16:creationId xmlns:a16="http://schemas.microsoft.com/office/drawing/2014/main" id="{00000000-0008-0000-0A00-00002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0</xdr:colOff>
      <xdr:row>80</xdr:row>
      <xdr:rowOff>0</xdr:rowOff>
    </xdr:from>
    <xdr:to>
      <xdr:col>5</xdr:col>
      <xdr:colOff>1185333</xdr:colOff>
      <xdr:row>81</xdr:row>
      <xdr:rowOff>371475</xdr:rowOff>
    </xdr:to>
    <xdr:graphicFrame macro="">
      <xdr:nvGraphicFramePr>
        <xdr:cNvPr id="46" name="Gráfico 45">
          <a:extLst>
            <a:ext uri="{FF2B5EF4-FFF2-40B4-BE49-F238E27FC236}">
              <a16:creationId xmlns:a16="http://schemas.microsoft.com/office/drawing/2014/main" id="{00000000-0008-0000-0A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0</xdr:colOff>
      <xdr:row>80</xdr:row>
      <xdr:rowOff>0</xdr:rowOff>
    </xdr:from>
    <xdr:to>
      <xdr:col>10</xdr:col>
      <xdr:colOff>1291167</xdr:colOff>
      <xdr:row>81</xdr:row>
      <xdr:rowOff>371475</xdr:rowOff>
    </xdr:to>
    <xdr:graphicFrame macro="">
      <xdr:nvGraphicFramePr>
        <xdr:cNvPr id="47" name="Gráfico 46">
          <a:extLst>
            <a:ext uri="{FF2B5EF4-FFF2-40B4-BE49-F238E27FC236}">
              <a16:creationId xmlns:a16="http://schemas.microsoft.com/office/drawing/2014/main" id="{00000000-0008-0000-0A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absolute">
    <xdr:from>
      <xdr:col>2</xdr:col>
      <xdr:colOff>22860</xdr:colOff>
      <xdr:row>0</xdr:row>
      <xdr:rowOff>38100</xdr:rowOff>
    </xdr:from>
    <xdr:to>
      <xdr:col>3</xdr:col>
      <xdr:colOff>190500</xdr:colOff>
      <xdr:row>0</xdr:row>
      <xdr:rowOff>289559</xdr:rowOff>
    </xdr:to>
    <xdr:sp macro="" textlink="">
      <xdr:nvSpPr>
        <xdr:cNvPr id="40" name="Seta: Pentágono 39">
          <a:hlinkClick xmlns:r="http://schemas.openxmlformats.org/officeDocument/2006/relationships" r:id="rId21"/>
          <a:extLst>
            <a:ext uri="{FF2B5EF4-FFF2-40B4-BE49-F238E27FC236}">
              <a16:creationId xmlns:a16="http://schemas.microsoft.com/office/drawing/2014/main" id="{69D36C08-7A82-47D7-B217-DC763A25DCB1}"/>
            </a:ext>
          </a:extLst>
        </xdr:cNvPr>
        <xdr:cNvSpPr>
          <a:spLocks/>
        </xdr:cNvSpPr>
      </xdr:nvSpPr>
      <xdr:spPr>
        <a:xfrm flipH="1">
          <a:off x="373380" y="38100"/>
          <a:ext cx="792480" cy="251459"/>
        </a:xfrm>
        <a:prstGeom prst="homePlate">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MENU</a:t>
          </a:r>
        </a:p>
      </xdr:txBody>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2</xdr:col>
      <xdr:colOff>38100</xdr:colOff>
      <xdr:row>0</xdr:row>
      <xdr:rowOff>37010</xdr:rowOff>
    </xdr:from>
    <xdr:to>
      <xdr:col>2</xdr:col>
      <xdr:colOff>952500</xdr:colOff>
      <xdr:row>0</xdr:row>
      <xdr:rowOff>304799</xdr:rowOff>
    </xdr:to>
    <xdr:sp macro="" textlink="">
      <xdr:nvSpPr>
        <xdr:cNvPr id="15" name="Seta: Pentágono 14">
          <a:hlinkClick xmlns:r="http://schemas.openxmlformats.org/officeDocument/2006/relationships" r:id="rId1"/>
          <a:extLst>
            <a:ext uri="{FF2B5EF4-FFF2-40B4-BE49-F238E27FC236}">
              <a16:creationId xmlns:a16="http://schemas.microsoft.com/office/drawing/2014/main" id="{872D106B-C69D-4151-B234-278B12717E0F}"/>
            </a:ext>
          </a:extLst>
        </xdr:cNvPr>
        <xdr:cNvSpPr>
          <a:spLocks/>
        </xdr:cNvSpPr>
      </xdr:nvSpPr>
      <xdr:spPr>
        <a:xfrm flipH="1">
          <a:off x="594360" y="37010"/>
          <a:ext cx="914400" cy="267789"/>
        </a:xfrm>
        <a:prstGeom prst="homePlate">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MENU</a:t>
          </a:r>
        </a:p>
      </xdr:txBody>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487680</xdr:colOff>
      <xdr:row>0</xdr:row>
      <xdr:rowOff>38101</xdr:rowOff>
    </xdr:from>
    <xdr:to>
      <xdr:col>2</xdr:col>
      <xdr:colOff>617220</xdr:colOff>
      <xdr:row>0</xdr:row>
      <xdr:rowOff>289561</xdr:rowOff>
    </xdr:to>
    <xdr:sp macro="" textlink="">
      <xdr:nvSpPr>
        <xdr:cNvPr id="19" name="Seta: Pentágono 18">
          <a:hlinkClick xmlns:r="http://schemas.openxmlformats.org/officeDocument/2006/relationships" r:id="rId1"/>
          <a:extLst>
            <a:ext uri="{FF2B5EF4-FFF2-40B4-BE49-F238E27FC236}">
              <a16:creationId xmlns:a16="http://schemas.microsoft.com/office/drawing/2014/main" id="{87195101-F58D-438E-ACDD-E0700B9FB812}"/>
            </a:ext>
          </a:extLst>
        </xdr:cNvPr>
        <xdr:cNvSpPr>
          <a:spLocks/>
        </xdr:cNvSpPr>
      </xdr:nvSpPr>
      <xdr:spPr>
        <a:xfrm flipH="1">
          <a:off x="487680" y="38101"/>
          <a:ext cx="868680" cy="251460"/>
        </a:xfrm>
        <a:prstGeom prst="homePlate">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MENU</a:t>
          </a:r>
        </a:p>
      </xdr:txBody>
    </xdr:sp>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518160</xdr:colOff>
      <xdr:row>0</xdr:row>
      <xdr:rowOff>44631</xdr:rowOff>
    </xdr:from>
    <xdr:to>
      <xdr:col>2</xdr:col>
      <xdr:colOff>563880</xdr:colOff>
      <xdr:row>0</xdr:row>
      <xdr:rowOff>297181</xdr:rowOff>
    </xdr:to>
    <xdr:sp macro="" textlink="">
      <xdr:nvSpPr>
        <xdr:cNvPr id="20" name="Seta: Pentágono 19">
          <a:hlinkClick xmlns:r="http://schemas.openxmlformats.org/officeDocument/2006/relationships" r:id="rId1"/>
          <a:extLst>
            <a:ext uri="{FF2B5EF4-FFF2-40B4-BE49-F238E27FC236}">
              <a16:creationId xmlns:a16="http://schemas.microsoft.com/office/drawing/2014/main" id="{2AB33D4C-5593-45EA-9091-257548017FFA}"/>
            </a:ext>
          </a:extLst>
        </xdr:cNvPr>
        <xdr:cNvSpPr>
          <a:spLocks/>
        </xdr:cNvSpPr>
      </xdr:nvSpPr>
      <xdr:spPr>
        <a:xfrm flipH="1">
          <a:off x="518160" y="44631"/>
          <a:ext cx="960120" cy="252550"/>
        </a:xfrm>
        <a:prstGeom prst="homePlate">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MENU</a:t>
          </a:r>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2</xdr:col>
      <xdr:colOff>114300</xdr:colOff>
      <xdr:row>0</xdr:row>
      <xdr:rowOff>45720</xdr:rowOff>
    </xdr:from>
    <xdr:to>
      <xdr:col>2</xdr:col>
      <xdr:colOff>1013460</xdr:colOff>
      <xdr:row>0</xdr:row>
      <xdr:rowOff>266699</xdr:rowOff>
    </xdr:to>
    <xdr:sp macro="" textlink="">
      <xdr:nvSpPr>
        <xdr:cNvPr id="19" name="Seta: Pentágono 18">
          <a:hlinkClick xmlns:r="http://schemas.openxmlformats.org/officeDocument/2006/relationships" r:id="rId1"/>
          <a:extLst>
            <a:ext uri="{FF2B5EF4-FFF2-40B4-BE49-F238E27FC236}">
              <a16:creationId xmlns:a16="http://schemas.microsoft.com/office/drawing/2014/main" id="{7CE2A55E-2D21-45A2-A6EA-D318BC4FFC3F}"/>
            </a:ext>
          </a:extLst>
        </xdr:cNvPr>
        <xdr:cNvSpPr>
          <a:spLocks/>
        </xdr:cNvSpPr>
      </xdr:nvSpPr>
      <xdr:spPr>
        <a:xfrm flipH="1">
          <a:off x="472440" y="45720"/>
          <a:ext cx="899160" cy="220979"/>
        </a:xfrm>
        <a:prstGeom prst="homePlate">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MENU</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174079</xdr:colOff>
      <xdr:row>0</xdr:row>
      <xdr:rowOff>42200</xdr:rowOff>
    </xdr:from>
    <xdr:to>
      <xdr:col>1</xdr:col>
      <xdr:colOff>1059179</xdr:colOff>
      <xdr:row>0</xdr:row>
      <xdr:rowOff>289559</xdr:rowOff>
    </xdr:to>
    <xdr:sp macro="" textlink="">
      <xdr:nvSpPr>
        <xdr:cNvPr id="3" name="Seta: Pentágono 2">
          <a:hlinkClick xmlns:r="http://schemas.openxmlformats.org/officeDocument/2006/relationships" r:id="rId1"/>
          <a:extLst>
            <a:ext uri="{FF2B5EF4-FFF2-40B4-BE49-F238E27FC236}">
              <a16:creationId xmlns:a16="http://schemas.microsoft.com/office/drawing/2014/main" id="{B9AB4165-E96D-2CEA-AC59-DDBEDDC57D21}"/>
            </a:ext>
          </a:extLst>
        </xdr:cNvPr>
        <xdr:cNvSpPr/>
      </xdr:nvSpPr>
      <xdr:spPr>
        <a:xfrm rot="10800000" flipV="1">
          <a:off x="402679" y="42200"/>
          <a:ext cx="885100" cy="247359"/>
        </a:xfrm>
        <a:prstGeom prst="homePlate">
          <a:avLst>
            <a:gd name="adj" fmla="val 34444"/>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1100" b="1"/>
            <a:t>MENU</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2</xdr:col>
      <xdr:colOff>1</xdr:colOff>
      <xdr:row>178</xdr:row>
      <xdr:rowOff>0</xdr:rowOff>
    </xdr:from>
    <xdr:to>
      <xdr:col>10</xdr:col>
      <xdr:colOff>0</xdr:colOff>
      <xdr:row>183</xdr:row>
      <xdr:rowOff>116416</xdr:rowOff>
    </xdr:to>
    <xdr:graphicFrame macro="">
      <xdr:nvGraphicFramePr>
        <xdr:cNvPr id="44" name="Gráfico 43">
          <a:extLst>
            <a:ext uri="{FF2B5EF4-FFF2-40B4-BE49-F238E27FC236}">
              <a16:creationId xmlns:a16="http://schemas.microsoft.com/office/drawing/2014/main" id="{00000000-0008-0000-10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183</xdr:row>
      <xdr:rowOff>116416</xdr:rowOff>
    </xdr:from>
    <xdr:to>
      <xdr:col>10</xdr:col>
      <xdr:colOff>812</xdr:colOff>
      <xdr:row>184</xdr:row>
      <xdr:rowOff>414617</xdr:rowOff>
    </xdr:to>
    <xdr:graphicFrame macro="">
      <xdr:nvGraphicFramePr>
        <xdr:cNvPr id="45" name="Gráfico 44">
          <a:extLst>
            <a:ext uri="{FF2B5EF4-FFF2-40B4-BE49-F238E27FC236}">
              <a16:creationId xmlns:a16="http://schemas.microsoft.com/office/drawing/2014/main" id="{00000000-0008-0000-1000-00002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187</xdr:row>
      <xdr:rowOff>0</xdr:rowOff>
    </xdr:from>
    <xdr:to>
      <xdr:col>10</xdr:col>
      <xdr:colOff>0</xdr:colOff>
      <xdr:row>192</xdr:row>
      <xdr:rowOff>116418</xdr:rowOff>
    </xdr:to>
    <xdr:graphicFrame macro="">
      <xdr:nvGraphicFramePr>
        <xdr:cNvPr id="46" name="Gráfico 45">
          <a:extLst>
            <a:ext uri="{FF2B5EF4-FFF2-40B4-BE49-F238E27FC236}">
              <a16:creationId xmlns:a16="http://schemas.microsoft.com/office/drawing/2014/main" id="{00000000-0008-0000-10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253999</xdr:colOff>
      <xdr:row>192</xdr:row>
      <xdr:rowOff>116418</xdr:rowOff>
    </xdr:from>
    <xdr:to>
      <xdr:col>9</xdr:col>
      <xdr:colOff>851396</xdr:colOff>
      <xdr:row>194</xdr:row>
      <xdr:rowOff>1059</xdr:rowOff>
    </xdr:to>
    <xdr:graphicFrame macro="">
      <xdr:nvGraphicFramePr>
        <xdr:cNvPr id="47" name="Gráfico 46">
          <a:extLst>
            <a:ext uri="{FF2B5EF4-FFF2-40B4-BE49-F238E27FC236}">
              <a16:creationId xmlns:a16="http://schemas.microsoft.com/office/drawing/2014/main" id="{00000000-0008-0000-10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81</xdr:row>
      <xdr:rowOff>0</xdr:rowOff>
    </xdr:from>
    <xdr:to>
      <xdr:col>10</xdr:col>
      <xdr:colOff>0</xdr:colOff>
      <xdr:row>90</xdr:row>
      <xdr:rowOff>0</xdr:rowOff>
    </xdr:to>
    <xdr:graphicFrame macro="">
      <xdr:nvGraphicFramePr>
        <xdr:cNvPr id="58" name="Gráfico 57">
          <a:extLst>
            <a:ext uri="{FF2B5EF4-FFF2-40B4-BE49-F238E27FC236}">
              <a16:creationId xmlns:a16="http://schemas.microsoft.com/office/drawing/2014/main" id="{00000000-0008-0000-1000-00003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90</xdr:row>
      <xdr:rowOff>0</xdr:rowOff>
    </xdr:from>
    <xdr:to>
      <xdr:col>10</xdr:col>
      <xdr:colOff>0</xdr:colOff>
      <xdr:row>91</xdr:row>
      <xdr:rowOff>371475</xdr:rowOff>
    </xdr:to>
    <xdr:graphicFrame macro="">
      <xdr:nvGraphicFramePr>
        <xdr:cNvPr id="59" name="Gráfico 58">
          <a:extLst>
            <a:ext uri="{FF2B5EF4-FFF2-40B4-BE49-F238E27FC236}">
              <a16:creationId xmlns:a16="http://schemas.microsoft.com/office/drawing/2014/main" id="{00000000-0008-0000-1000-00003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94</xdr:row>
      <xdr:rowOff>0</xdr:rowOff>
    </xdr:from>
    <xdr:to>
      <xdr:col>9</xdr:col>
      <xdr:colOff>851645</xdr:colOff>
      <xdr:row>102</xdr:row>
      <xdr:rowOff>380998</xdr:rowOff>
    </xdr:to>
    <xdr:graphicFrame macro="">
      <xdr:nvGraphicFramePr>
        <xdr:cNvPr id="60" name="Gráfico 59">
          <a:extLst>
            <a:ext uri="{FF2B5EF4-FFF2-40B4-BE49-F238E27FC236}">
              <a16:creationId xmlns:a16="http://schemas.microsoft.com/office/drawing/2014/main" id="{00000000-0008-0000-1000-00003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103</xdr:row>
      <xdr:rowOff>0</xdr:rowOff>
    </xdr:from>
    <xdr:to>
      <xdr:col>10</xdr:col>
      <xdr:colOff>0</xdr:colOff>
      <xdr:row>104</xdr:row>
      <xdr:rowOff>371475</xdr:rowOff>
    </xdr:to>
    <xdr:graphicFrame macro="">
      <xdr:nvGraphicFramePr>
        <xdr:cNvPr id="61" name="Gráfico 60">
          <a:extLst>
            <a:ext uri="{FF2B5EF4-FFF2-40B4-BE49-F238E27FC236}">
              <a16:creationId xmlns:a16="http://schemas.microsoft.com/office/drawing/2014/main" id="{00000000-0008-0000-10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0</xdr:colOff>
      <xdr:row>107</xdr:row>
      <xdr:rowOff>0</xdr:rowOff>
    </xdr:from>
    <xdr:to>
      <xdr:col>9</xdr:col>
      <xdr:colOff>847412</xdr:colOff>
      <xdr:row>115</xdr:row>
      <xdr:rowOff>376769</xdr:rowOff>
    </xdr:to>
    <xdr:graphicFrame macro="">
      <xdr:nvGraphicFramePr>
        <xdr:cNvPr id="64" name="Gráfico 63">
          <a:extLst>
            <a:ext uri="{FF2B5EF4-FFF2-40B4-BE49-F238E27FC236}">
              <a16:creationId xmlns:a16="http://schemas.microsoft.com/office/drawing/2014/main" id="{00000000-0008-0000-1000-00004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0</xdr:colOff>
      <xdr:row>116</xdr:row>
      <xdr:rowOff>0</xdr:rowOff>
    </xdr:from>
    <xdr:to>
      <xdr:col>10</xdr:col>
      <xdr:colOff>112</xdr:colOff>
      <xdr:row>117</xdr:row>
      <xdr:rowOff>371475</xdr:rowOff>
    </xdr:to>
    <xdr:graphicFrame macro="">
      <xdr:nvGraphicFramePr>
        <xdr:cNvPr id="65" name="Gráfico 64">
          <a:extLst>
            <a:ext uri="{FF2B5EF4-FFF2-40B4-BE49-F238E27FC236}">
              <a16:creationId xmlns:a16="http://schemas.microsoft.com/office/drawing/2014/main" id="{00000000-0008-0000-1000-00004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0</xdr:colOff>
      <xdr:row>120</xdr:row>
      <xdr:rowOff>0</xdr:rowOff>
    </xdr:from>
    <xdr:to>
      <xdr:col>10</xdr:col>
      <xdr:colOff>0</xdr:colOff>
      <xdr:row>129</xdr:row>
      <xdr:rowOff>0</xdr:rowOff>
    </xdr:to>
    <xdr:graphicFrame macro="">
      <xdr:nvGraphicFramePr>
        <xdr:cNvPr id="68" name="Gráfico 67">
          <a:extLst>
            <a:ext uri="{FF2B5EF4-FFF2-40B4-BE49-F238E27FC236}">
              <a16:creationId xmlns:a16="http://schemas.microsoft.com/office/drawing/2014/main" id="{00000000-0008-0000-1000-00004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0</xdr:colOff>
      <xdr:row>129</xdr:row>
      <xdr:rowOff>0</xdr:rowOff>
    </xdr:from>
    <xdr:to>
      <xdr:col>9</xdr:col>
      <xdr:colOff>851010</xdr:colOff>
      <xdr:row>130</xdr:row>
      <xdr:rowOff>371475</xdr:rowOff>
    </xdr:to>
    <xdr:graphicFrame macro="">
      <xdr:nvGraphicFramePr>
        <xdr:cNvPr id="69" name="Gráfico 68">
          <a:extLst>
            <a:ext uri="{FF2B5EF4-FFF2-40B4-BE49-F238E27FC236}">
              <a16:creationId xmlns:a16="http://schemas.microsoft.com/office/drawing/2014/main" id="{00000000-0008-0000-1000-00004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0</xdr:colOff>
      <xdr:row>133</xdr:row>
      <xdr:rowOff>0</xdr:rowOff>
    </xdr:from>
    <xdr:to>
      <xdr:col>9</xdr:col>
      <xdr:colOff>847414</xdr:colOff>
      <xdr:row>139</xdr:row>
      <xdr:rowOff>0</xdr:rowOff>
    </xdr:to>
    <xdr:graphicFrame macro="">
      <xdr:nvGraphicFramePr>
        <xdr:cNvPr id="70" name="Gráfico 69">
          <a:extLst>
            <a:ext uri="{FF2B5EF4-FFF2-40B4-BE49-F238E27FC236}">
              <a16:creationId xmlns:a16="http://schemas.microsoft.com/office/drawing/2014/main" id="{00000000-0008-0000-1000-00004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0</xdr:colOff>
      <xdr:row>139</xdr:row>
      <xdr:rowOff>0</xdr:rowOff>
    </xdr:from>
    <xdr:to>
      <xdr:col>10</xdr:col>
      <xdr:colOff>3200</xdr:colOff>
      <xdr:row>140</xdr:row>
      <xdr:rowOff>414618</xdr:rowOff>
    </xdr:to>
    <xdr:graphicFrame macro="">
      <xdr:nvGraphicFramePr>
        <xdr:cNvPr id="71" name="Gráfico 70">
          <a:extLst>
            <a:ext uri="{FF2B5EF4-FFF2-40B4-BE49-F238E27FC236}">
              <a16:creationId xmlns:a16="http://schemas.microsoft.com/office/drawing/2014/main" id="{00000000-0008-0000-1000-00004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0</xdr:colOff>
      <xdr:row>152</xdr:row>
      <xdr:rowOff>0</xdr:rowOff>
    </xdr:from>
    <xdr:to>
      <xdr:col>9</xdr:col>
      <xdr:colOff>851646</xdr:colOff>
      <xdr:row>161</xdr:row>
      <xdr:rowOff>0</xdr:rowOff>
    </xdr:to>
    <xdr:graphicFrame macro="">
      <xdr:nvGraphicFramePr>
        <xdr:cNvPr id="72" name="Gráfico 71">
          <a:extLst>
            <a:ext uri="{FF2B5EF4-FFF2-40B4-BE49-F238E27FC236}">
              <a16:creationId xmlns:a16="http://schemas.microsoft.com/office/drawing/2014/main" id="{00000000-0008-0000-1000-00004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0</xdr:colOff>
      <xdr:row>161</xdr:row>
      <xdr:rowOff>0</xdr:rowOff>
    </xdr:from>
    <xdr:to>
      <xdr:col>10</xdr:col>
      <xdr:colOff>812</xdr:colOff>
      <xdr:row>162</xdr:row>
      <xdr:rowOff>310465</xdr:rowOff>
    </xdr:to>
    <xdr:graphicFrame macro="">
      <xdr:nvGraphicFramePr>
        <xdr:cNvPr id="73" name="Gráfico 72">
          <a:extLst>
            <a:ext uri="{FF2B5EF4-FFF2-40B4-BE49-F238E27FC236}">
              <a16:creationId xmlns:a16="http://schemas.microsoft.com/office/drawing/2014/main" id="{00000000-0008-0000-1000-00004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0</xdr:colOff>
      <xdr:row>165</xdr:row>
      <xdr:rowOff>0</xdr:rowOff>
    </xdr:from>
    <xdr:to>
      <xdr:col>10</xdr:col>
      <xdr:colOff>0</xdr:colOff>
      <xdr:row>174</xdr:row>
      <xdr:rowOff>0</xdr:rowOff>
    </xdr:to>
    <xdr:graphicFrame macro="">
      <xdr:nvGraphicFramePr>
        <xdr:cNvPr id="76" name="Gráfico 75">
          <a:extLst>
            <a:ext uri="{FF2B5EF4-FFF2-40B4-BE49-F238E27FC236}">
              <a16:creationId xmlns:a16="http://schemas.microsoft.com/office/drawing/2014/main" id="{00000000-0008-0000-1000-00004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0</xdr:colOff>
      <xdr:row>174</xdr:row>
      <xdr:rowOff>0</xdr:rowOff>
    </xdr:from>
    <xdr:to>
      <xdr:col>10</xdr:col>
      <xdr:colOff>0</xdr:colOff>
      <xdr:row>175</xdr:row>
      <xdr:rowOff>310465</xdr:rowOff>
    </xdr:to>
    <xdr:graphicFrame macro="">
      <xdr:nvGraphicFramePr>
        <xdr:cNvPr id="77" name="Gráfico 76">
          <a:extLst>
            <a:ext uri="{FF2B5EF4-FFF2-40B4-BE49-F238E27FC236}">
              <a16:creationId xmlns:a16="http://schemas.microsoft.com/office/drawing/2014/main" id="{00000000-0008-0000-1000-00004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0</xdr:colOff>
      <xdr:row>143</xdr:row>
      <xdr:rowOff>0</xdr:rowOff>
    </xdr:from>
    <xdr:to>
      <xdr:col>10</xdr:col>
      <xdr:colOff>3736</xdr:colOff>
      <xdr:row>148</xdr:row>
      <xdr:rowOff>154765</xdr:rowOff>
    </xdr:to>
    <xdr:graphicFrame macro="">
      <xdr:nvGraphicFramePr>
        <xdr:cNvPr id="80" name="Gráfico 79">
          <a:extLst>
            <a:ext uri="{FF2B5EF4-FFF2-40B4-BE49-F238E27FC236}">
              <a16:creationId xmlns:a16="http://schemas.microsoft.com/office/drawing/2014/main" id="{00000000-0008-0000-1000-00005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0</xdr:colOff>
      <xdr:row>148</xdr:row>
      <xdr:rowOff>156882</xdr:rowOff>
    </xdr:from>
    <xdr:to>
      <xdr:col>10</xdr:col>
      <xdr:colOff>3736</xdr:colOff>
      <xdr:row>150</xdr:row>
      <xdr:rowOff>57710</xdr:rowOff>
    </xdr:to>
    <xdr:graphicFrame macro="">
      <xdr:nvGraphicFramePr>
        <xdr:cNvPr id="81" name="Gráfico 80">
          <a:extLst>
            <a:ext uri="{FF2B5EF4-FFF2-40B4-BE49-F238E27FC236}">
              <a16:creationId xmlns:a16="http://schemas.microsoft.com/office/drawing/2014/main" id="{00000000-0008-0000-1000-00005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absolute">
    <xdr:from>
      <xdr:col>2</xdr:col>
      <xdr:colOff>365760</xdr:colOff>
      <xdr:row>0</xdr:row>
      <xdr:rowOff>38100</xdr:rowOff>
    </xdr:from>
    <xdr:to>
      <xdr:col>3</xdr:col>
      <xdr:colOff>632460</xdr:colOff>
      <xdr:row>0</xdr:row>
      <xdr:rowOff>274319</xdr:rowOff>
    </xdr:to>
    <xdr:sp macro="" textlink="">
      <xdr:nvSpPr>
        <xdr:cNvPr id="36" name="Seta: Pentágono 35">
          <a:hlinkClick xmlns:r="http://schemas.openxmlformats.org/officeDocument/2006/relationships" r:id="rId21"/>
          <a:extLst>
            <a:ext uri="{FF2B5EF4-FFF2-40B4-BE49-F238E27FC236}">
              <a16:creationId xmlns:a16="http://schemas.microsoft.com/office/drawing/2014/main" id="{41243B68-82AF-4F7D-A8E6-258887195C23}"/>
            </a:ext>
          </a:extLst>
        </xdr:cNvPr>
        <xdr:cNvSpPr>
          <a:spLocks/>
        </xdr:cNvSpPr>
      </xdr:nvSpPr>
      <xdr:spPr>
        <a:xfrm flipH="1">
          <a:off x="861060" y="38100"/>
          <a:ext cx="876300" cy="236219"/>
        </a:xfrm>
        <a:prstGeom prst="homePlate">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MENU</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127000</xdr:colOff>
      <xdr:row>0</xdr:row>
      <xdr:rowOff>127000</xdr:rowOff>
    </xdr:from>
    <xdr:to>
      <xdr:col>12</xdr:col>
      <xdr:colOff>406400</xdr:colOff>
      <xdr:row>40</xdr:row>
      <xdr:rowOff>127000</xdr:rowOff>
    </xdr:to>
    <xdr:pic>
      <xdr:nvPicPr>
        <xdr:cNvPr id="3" name="Imagem 2">
          <a:hlinkClick xmlns:r="http://schemas.openxmlformats.org/officeDocument/2006/relationships" r:id="rId1"/>
          <a:extLst>
            <a:ext uri="{FF2B5EF4-FFF2-40B4-BE49-F238E27FC236}">
              <a16:creationId xmlns:a16="http://schemas.microsoft.com/office/drawing/2014/main" id="{6E31C4E9-263A-5342-1A81-0715AD854B34}"/>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000" y="127000"/>
          <a:ext cx="7594600" cy="762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mneto/OneDrive/Documents/Documents/Tribunal%20de%20Contas/MODELOS/Contas%20-%20Resolu&#231;&#227;o%204-16.xlsx" TargetMode="External"/><Relationship Id="rId1" Type="http://schemas.openxmlformats.org/officeDocument/2006/relationships/externalLinkPath" Target="/Users/mneto/OneDrive/Documents/Documents/Tribunal%20de%20Contas/MODELOS/Contas%20-%20Resolu&#231;&#227;o%204-1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107ec424e50d163e/Documents/Documents/Tribunal%20de%20Contas/MODELOS/Contas%20-%20Resolu&#231;&#227;o%204-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ício"/>
      <sheetName val="Cad1"/>
      <sheetName val="Cad2"/>
      <sheetName val="Cad3"/>
      <sheetName val="Lançamento"/>
      <sheetName val="Folha1"/>
      <sheetName val="Receitas"/>
      <sheetName val="Despesas"/>
      <sheetName val="Saldos"/>
      <sheetName val="Conta de Gestão"/>
    </sheetNames>
    <sheetDataSet>
      <sheetData sheetId="0"/>
      <sheetData sheetId="1"/>
      <sheetData sheetId="2"/>
      <sheetData sheetId="3">
        <row r="5">
          <cell r="B5" t="str">
            <v>Tesouro</v>
          </cell>
        </row>
        <row r="6">
          <cell r="B6" t="str">
            <v>Bancos</v>
          </cell>
        </row>
        <row r="7">
          <cell r="B7" t="str">
            <v>Caixa</v>
          </cell>
        </row>
        <row r="8">
          <cell r="B8" t="str">
            <v>Não Aplicável</v>
          </cell>
        </row>
        <row r="9">
          <cell r="B9"/>
        </row>
        <row r="10">
          <cell r="B10"/>
        </row>
        <row r="11">
          <cell r="B11"/>
        </row>
        <row r="12">
          <cell r="B12"/>
        </row>
        <row r="13">
          <cell r="B13"/>
        </row>
        <row r="14">
          <cell r="B14"/>
        </row>
      </sheetData>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ício"/>
      <sheetName val="Cad1"/>
      <sheetName val="Cad2"/>
      <sheetName val="Cad3"/>
      <sheetName val="Lançamento"/>
      <sheetName val="Folha1"/>
      <sheetName val="Receitas"/>
      <sheetName val="Despesas"/>
      <sheetName val="Saldos"/>
      <sheetName val="Conta de Gestão"/>
    </sheetNames>
    <sheetDataSet>
      <sheetData sheetId="0"/>
      <sheetData sheetId="1"/>
      <sheetData sheetId="2"/>
      <sheetData sheetId="3"/>
      <sheetData sheetId="4"/>
      <sheetData sheetId="5"/>
      <sheetData sheetId="6"/>
      <sheetData sheetId="7"/>
      <sheetData sheetId="8"/>
      <sheetData sheetId="9"/>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2" xr16:uid="{00000000-0016-0000-0200-000000000000}" autoFormatId="16" applyNumberFormats="0" applyBorderFormats="0" applyFontFormats="0" applyPatternFormats="0" applyAlignmentFormats="0" applyWidthHeightFormats="0">
  <queryTableRefresh nextId="22" unboundColumnsLeft="4" unboundColumnsRight="1">
    <queryTableFields count="7">
      <queryTableField id="18" dataBound="0" tableColumnId="4"/>
      <queryTableField id="17" dataBound="0" tableColumnId="1"/>
      <queryTableField id="20" dataBound="0" tableColumnId="3"/>
      <queryTableField id="19" dataBound="0" tableColumnId="2"/>
      <queryTableField id="8" name="Column8" tableColumnId="8"/>
      <queryTableField id="13" name="Column13" tableColumnId="13"/>
      <queryTableField id="21" dataBound="0" tableColumnId="5"/>
    </queryTableFields>
    <queryTableDeletedFields count="11">
      <deletedField name="Column1"/>
      <deletedField name="Column4"/>
      <deletedField name="Column5"/>
      <deletedField name="Column6"/>
      <deletedField name="Column7"/>
      <deletedField name="Column9"/>
      <deletedField name="Column10"/>
      <deletedField name="Column11"/>
      <deletedField name="Column12"/>
      <deletedField name="Column2"/>
      <deletedField name="Column3"/>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6E33AB-1AEC-4431-9CAA-300696DDDDB7}" name="Table001__Page_1_324" displayName="Table001__Page_1_324" ref="B5:H487" tableType="queryTable" totalsRowShown="0" headerRowDxfId="57" dataDxfId="55" headerRowBorderDxfId="56">
  <autoFilter ref="B5:H487" xr:uid="{710E9212-1B62-4C47-BDCF-75EC03F4C45C}"/>
  <tableColumns count="7">
    <tableColumn id="4" xr3:uid="{D665F5AF-6511-4B3B-A0D6-303AB68073E7}" uniqueName="4" name="Conta" queryTableFieldId="18" dataDxfId="54"/>
    <tableColumn id="1" xr3:uid="{2F218B37-ACF8-4216-9481-BD753E1AE99A}" uniqueName="1" name="Designação da Conta" queryTableFieldId="17" dataDxfId="53"/>
    <tableColumn id="3" xr3:uid="{D01A7DC0-4163-401B-ADC7-FFC092283D3D}" uniqueName="3" name="Movim. Débito" queryTableFieldId="20"/>
    <tableColumn id="2" xr3:uid="{327B3560-1B1E-428A-A00D-4D21967ECFA8}" uniqueName="2" name="Movim. Crédito" queryTableFieldId="19" dataDxfId="52"/>
    <tableColumn id="8" xr3:uid="{44E0EABF-7787-4E6D-BD62-D9ED237BF0D4}" uniqueName="8" name="Saldo do Ano Corrente" queryTableFieldId="8" dataDxfId="51"/>
    <tableColumn id="13" xr3:uid="{4C81EF4B-4A3C-440B-9FF0-F2CE7D5B7BB8}" uniqueName="13" name="Saldo do Ano Anterior" queryTableFieldId="13" dataDxfId="50"/>
    <tableColumn id="5" xr3:uid="{FB7F0FA4-CE2F-4948-8CD3-4B42B9987281}" uniqueName="5" name="Coluna1" queryTableFieldId="21" dataDxfId="4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E509EC-946C-43C5-9E14-D686CA8F881D}" name="Tabela14" displayName="Tabela14" ref="B15:G30" totalsRowCount="1" headerRowDxfId="48" tableBorderDxfId="47">
  <autoFilter ref="B15:G29" xr:uid="{610633CA-24CD-4D1F-BA43-0C90CE6CD466}"/>
  <tableColumns count="6">
    <tableColumn id="1" xr3:uid="{4247B17E-6812-4154-BE37-A32A206549DF}" name="Rubrica" dataDxfId="46"/>
    <tableColumn id="2" xr3:uid="{2F38EAC1-BDE3-4866-B067-FBE6D81DD64B}" name="Valor Declarado" dataDxfId="45"/>
    <tableColumn id="3" xr3:uid="{CD9D15F4-868D-4E7C-9B62-93E93A5C4833}" name="Consolidado TC" dataDxfId="44">
      <calculatedColumnFormula>'Balanço Patrimonial'!E13+'Balanço Patrimonial'!E32</calculatedColumnFormula>
    </tableColumn>
    <tableColumn id="4" xr3:uid="{60044B99-DCCD-4981-A8DF-7227062F4DE2}" name="Diferença" dataDxfId="43">
      <calculatedColumnFormula>Tabela14[[#This Row],[Valor Declarado]]-Tabela14[[#This Row],[Consolidado TC]]</calculatedColumnFormula>
    </tableColumn>
    <tableColumn id="8" xr3:uid="{2FF3FE25-3D11-41CA-830C-15B7342B634D}" name="Média" dataDxfId="42">
      <calculatedColumnFormula>IFERROR(AVERAGE(C16,D16,E16),"")</calculatedColumnFormula>
    </tableColumn>
    <tableColumn id="5" xr3:uid="{45C449AF-BC7A-4449-B767-C92971C2B389}" name="Comparação" dataDxfId="41"/>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customProperty" Target="../customProperty2.bin"/><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customProperty" Target="../customProperty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C1:S140"/>
  <sheetViews>
    <sheetView showGridLines="0" zoomScaleNormal="80" workbookViewId="0">
      <pane ySplit="4" topLeftCell="A6" activePane="bottomLeft" state="frozen"/>
      <selection pane="bottomLeft"/>
    </sheetView>
  </sheetViews>
  <sheetFormatPr defaultColWidth="9.1796875" defaultRowHeight="14.5" zeroHeight="1" x14ac:dyDescent="0.35"/>
  <cols>
    <col min="1" max="1" width="16.1796875" style="28" customWidth="1"/>
    <col min="2" max="2" width="1.90625" style="28" customWidth="1"/>
    <col min="3" max="3" width="15.36328125" style="28" customWidth="1"/>
    <col min="4" max="4" width="76.1796875" style="28" customWidth="1"/>
    <col min="5" max="5" width="69.26953125" style="28" customWidth="1"/>
    <col min="6" max="16384" width="9.1796875" style="28"/>
  </cols>
  <sheetData>
    <row r="1" spans="3:19" x14ac:dyDescent="0.35"/>
    <row r="2" spans="3:19" ht="51.65" customHeight="1" x14ac:dyDescent="0.35">
      <c r="C2" s="126"/>
      <c r="D2" s="46"/>
      <c r="E2" s="616" t="s">
        <v>0</v>
      </c>
      <c r="F2" s="616"/>
      <c r="G2" s="616"/>
      <c r="H2" s="616"/>
      <c r="I2" s="616"/>
      <c r="J2" s="616"/>
      <c r="K2" s="620"/>
      <c r="L2" s="620"/>
      <c r="M2" s="620"/>
      <c r="N2" s="620"/>
      <c r="O2" s="46"/>
      <c r="P2" s="46"/>
    </row>
    <row r="3" spans="3:19" ht="26.15" customHeight="1" thickBot="1" x14ac:dyDescent="0.4">
      <c r="C3" s="598" t="s">
        <v>1</v>
      </c>
      <c r="D3" s="599"/>
      <c r="E3" s="617"/>
      <c r="F3" s="617"/>
      <c r="G3" s="617"/>
      <c r="H3" s="617"/>
      <c r="I3" s="617"/>
      <c r="J3" s="617"/>
      <c r="K3" s="620"/>
      <c r="L3" s="620"/>
      <c r="M3" s="620"/>
      <c r="N3" s="620"/>
      <c r="O3" s="46"/>
      <c r="P3" s="46"/>
    </row>
    <row r="4" spans="3:19" ht="23.5" customHeight="1" x14ac:dyDescent="0.35">
      <c r="C4" s="600" t="s">
        <v>2</v>
      </c>
      <c r="D4" s="601"/>
      <c r="E4" s="617"/>
      <c r="F4" s="617"/>
      <c r="G4" s="617"/>
      <c r="H4" s="617"/>
      <c r="I4" s="617"/>
      <c r="J4" s="617"/>
      <c r="K4" s="620"/>
      <c r="L4" s="620"/>
      <c r="M4" s="620"/>
      <c r="N4" s="620"/>
      <c r="O4" s="46"/>
      <c r="P4" s="46"/>
      <c r="Q4" s="29"/>
      <c r="R4" s="29"/>
      <c r="S4" s="29"/>
    </row>
    <row r="5" spans="3:19" ht="11.15" customHeight="1" thickBot="1" x14ac:dyDescent="0.4">
      <c r="C5" s="552"/>
      <c r="D5" s="552"/>
      <c r="E5" s="553"/>
      <c r="F5" s="553"/>
      <c r="G5" s="553"/>
      <c r="H5" s="553"/>
      <c r="I5" s="553"/>
      <c r="J5" s="553"/>
      <c r="K5" s="554"/>
      <c r="L5" s="554"/>
      <c r="M5" s="554"/>
      <c r="N5" s="554"/>
      <c r="O5" s="46"/>
      <c r="P5" s="46"/>
      <c r="Q5" s="29"/>
      <c r="R5" s="29"/>
      <c r="S5" s="29"/>
    </row>
    <row r="6" spans="3:19" ht="54" customHeight="1" thickTop="1" thickBot="1" x14ac:dyDescent="0.4">
      <c r="C6" s="549" t="s">
        <v>3</v>
      </c>
      <c r="D6" s="550" t="s">
        <v>4</v>
      </c>
      <c r="E6" s="618" t="s">
        <v>5</v>
      </c>
      <c r="F6" s="618"/>
      <c r="G6" s="618"/>
      <c r="H6" s="618"/>
      <c r="I6" s="618"/>
      <c r="J6" s="618"/>
      <c r="K6" s="618"/>
      <c r="L6" s="618"/>
      <c r="M6" s="618"/>
      <c r="N6" s="619"/>
      <c r="O6" s="46"/>
      <c r="P6" s="46"/>
      <c r="Q6" s="29"/>
      <c r="R6" s="29"/>
      <c r="S6" s="29"/>
    </row>
    <row r="7" spans="3:19" ht="35.15" customHeight="1" thickTop="1" x14ac:dyDescent="0.5">
      <c r="C7" s="541"/>
      <c r="E7" s="539"/>
      <c r="F7" s="539"/>
      <c r="G7" s="539"/>
      <c r="H7" s="539"/>
      <c r="I7" s="539"/>
      <c r="J7" s="539"/>
      <c r="K7" s="46"/>
      <c r="L7" s="46"/>
      <c r="M7" s="46"/>
      <c r="N7" s="542"/>
      <c r="O7" s="46"/>
      <c r="P7" s="46"/>
      <c r="Q7" s="29"/>
      <c r="R7" s="29"/>
      <c r="S7" s="29"/>
    </row>
    <row r="8" spans="3:19" ht="54" customHeight="1" thickBot="1" x14ac:dyDescent="0.4">
      <c r="C8" s="587" t="s">
        <v>6</v>
      </c>
      <c r="D8" s="551" t="s">
        <v>7</v>
      </c>
      <c r="E8" s="613" t="s">
        <v>8</v>
      </c>
      <c r="F8" s="614"/>
      <c r="G8" s="614"/>
      <c r="H8" s="614"/>
      <c r="I8" s="614"/>
      <c r="J8" s="614"/>
      <c r="K8" s="614"/>
      <c r="L8" s="614"/>
      <c r="M8" s="614"/>
      <c r="N8" s="615"/>
    </row>
    <row r="9" spans="3:19" ht="36.75" customHeight="1" thickTop="1" x14ac:dyDescent="0.35">
      <c r="C9" s="543"/>
      <c r="F9" s="47"/>
      <c r="G9" s="47"/>
      <c r="H9" s="47"/>
      <c r="I9" s="47"/>
      <c r="J9" s="47"/>
      <c r="K9" s="47"/>
      <c r="L9" s="47"/>
      <c r="M9" s="47"/>
      <c r="N9" s="544"/>
    </row>
    <row r="10" spans="3:19" ht="54" customHeight="1" thickBot="1" x14ac:dyDescent="0.4">
      <c r="C10" s="587" t="s">
        <v>9</v>
      </c>
      <c r="D10" s="551" t="s">
        <v>10</v>
      </c>
      <c r="E10" s="613" t="s">
        <v>11</v>
      </c>
      <c r="F10" s="614"/>
      <c r="G10" s="614"/>
      <c r="H10" s="614"/>
      <c r="I10" s="614"/>
      <c r="J10" s="614"/>
      <c r="K10" s="614"/>
      <c r="L10" s="614"/>
      <c r="M10" s="614"/>
      <c r="N10" s="615"/>
    </row>
    <row r="11" spans="3:19" ht="36.75" customHeight="1" thickTop="1" x14ac:dyDescent="0.35">
      <c r="C11" s="543"/>
      <c r="E11" s="47"/>
      <c r="F11" s="47"/>
      <c r="G11" s="47"/>
      <c r="H11" s="47"/>
      <c r="I11" s="47"/>
      <c r="J11" s="47"/>
      <c r="K11" s="47"/>
      <c r="L11" s="47"/>
      <c r="M11" s="47"/>
      <c r="N11" s="544"/>
    </row>
    <row r="12" spans="3:19" ht="54" customHeight="1" thickBot="1" x14ac:dyDescent="0.4">
      <c r="C12" s="588" t="s">
        <v>12</v>
      </c>
      <c r="D12" s="551" t="s">
        <v>13</v>
      </c>
      <c r="E12" s="613" t="s">
        <v>14</v>
      </c>
      <c r="F12" s="614"/>
      <c r="G12" s="614"/>
      <c r="H12" s="614"/>
      <c r="I12" s="614"/>
      <c r="J12" s="614"/>
      <c r="K12" s="614"/>
      <c r="L12" s="614"/>
      <c r="M12" s="614"/>
      <c r="N12" s="615"/>
    </row>
    <row r="13" spans="3:19" ht="36.75" customHeight="1" thickTop="1" x14ac:dyDescent="0.5">
      <c r="C13" s="541"/>
      <c r="E13" s="540"/>
      <c r="F13" s="540"/>
      <c r="G13" s="540"/>
      <c r="H13" s="540"/>
      <c r="I13" s="540"/>
      <c r="J13" s="540"/>
      <c r="K13" s="540"/>
      <c r="L13" s="540"/>
      <c r="M13" s="540"/>
      <c r="N13" s="544"/>
    </row>
    <row r="14" spans="3:19" ht="54" customHeight="1" thickBot="1" x14ac:dyDescent="0.4">
      <c r="C14" s="588" t="s">
        <v>12</v>
      </c>
      <c r="D14" s="551" t="s">
        <v>15</v>
      </c>
      <c r="E14" s="613" t="s">
        <v>16</v>
      </c>
      <c r="F14" s="614"/>
      <c r="G14" s="614"/>
      <c r="H14" s="614"/>
      <c r="I14" s="614"/>
      <c r="J14" s="614"/>
      <c r="K14" s="614"/>
      <c r="L14" s="614"/>
      <c r="M14" s="614"/>
      <c r="N14" s="615"/>
    </row>
    <row r="15" spans="3:19" ht="36.75" customHeight="1" thickTop="1" x14ac:dyDescent="0.35">
      <c r="C15" s="543"/>
      <c r="F15" s="47"/>
      <c r="G15" s="47"/>
      <c r="H15" s="47"/>
      <c r="I15" s="47"/>
      <c r="J15" s="47"/>
      <c r="K15" s="47"/>
      <c r="L15" s="47"/>
      <c r="M15" s="47"/>
      <c r="N15" s="544"/>
    </row>
    <row r="16" spans="3:19" ht="36.75" customHeight="1" thickBot="1" x14ac:dyDescent="0.4">
      <c r="C16" s="588" t="s">
        <v>17</v>
      </c>
      <c r="D16" s="551" t="s">
        <v>1777</v>
      </c>
      <c r="E16" s="621" t="s">
        <v>1779</v>
      </c>
      <c r="F16" s="622"/>
      <c r="G16" s="622"/>
      <c r="H16" s="622"/>
      <c r="I16" s="622"/>
      <c r="J16" s="622"/>
      <c r="K16" s="622"/>
      <c r="L16" s="622"/>
      <c r="M16" s="622"/>
      <c r="N16" s="623"/>
    </row>
    <row r="17" spans="3:14" ht="36.75" customHeight="1" thickTop="1" thickBot="1" x14ac:dyDescent="0.55000000000000004">
      <c r="C17" s="545"/>
      <c r="D17" s="546"/>
      <c r="F17" s="47"/>
      <c r="G17" s="47"/>
      <c r="H17" s="47"/>
      <c r="I17" s="47"/>
      <c r="J17" s="47"/>
      <c r="K17" s="47"/>
      <c r="L17" s="47"/>
      <c r="M17" s="47"/>
      <c r="N17" s="544"/>
    </row>
    <row r="18" spans="3:14" ht="54" customHeight="1" thickTop="1" thickBot="1" x14ac:dyDescent="0.4">
      <c r="C18" s="588" t="s">
        <v>1778</v>
      </c>
      <c r="D18" s="551" t="s">
        <v>18</v>
      </c>
      <c r="E18" s="613" t="s">
        <v>19</v>
      </c>
      <c r="F18" s="614"/>
      <c r="G18" s="614"/>
      <c r="H18" s="614"/>
      <c r="I18" s="614"/>
      <c r="J18" s="614"/>
      <c r="K18" s="614"/>
      <c r="L18" s="614"/>
      <c r="M18" s="614"/>
      <c r="N18" s="615"/>
    </row>
    <row r="19" spans="3:14" ht="54" customHeight="1" thickTop="1" thickBot="1" x14ac:dyDescent="0.55000000000000004">
      <c r="C19" s="545"/>
      <c r="D19" s="546"/>
      <c r="E19" s="547"/>
      <c r="F19" s="547"/>
      <c r="G19" s="547"/>
      <c r="H19" s="547"/>
      <c r="I19" s="547"/>
      <c r="J19" s="547"/>
      <c r="K19" s="547"/>
      <c r="L19" s="547"/>
      <c r="M19" s="547"/>
      <c r="N19" s="548"/>
    </row>
    <row r="20" spans="3:14" ht="36.75" customHeight="1" thickTop="1" x14ac:dyDescent="0.35">
      <c r="C20" s="48"/>
      <c r="F20" s="47"/>
      <c r="G20" s="47"/>
      <c r="H20" s="47"/>
      <c r="I20" s="47"/>
      <c r="J20" s="47"/>
      <c r="K20" s="47"/>
      <c r="L20" s="47"/>
      <c r="M20" s="47"/>
    </row>
    <row r="21" spans="3:14" ht="36.75" customHeight="1" x14ac:dyDescent="0.35">
      <c r="C21" s="48"/>
      <c r="E21" s="47"/>
      <c r="F21" s="47"/>
      <c r="G21" s="47"/>
      <c r="H21" s="47"/>
      <c r="I21" s="47"/>
      <c r="J21" s="47"/>
      <c r="K21" s="47"/>
      <c r="L21" s="47"/>
      <c r="M21" s="47"/>
    </row>
    <row r="22" spans="3:14" ht="30" customHeight="1" x14ac:dyDescent="0.5">
      <c r="C22" s="45"/>
    </row>
    <row r="23" spans="3:14" ht="30" customHeight="1" x14ac:dyDescent="0.35"/>
    <row r="24" spans="3:14" ht="30" customHeight="1" x14ac:dyDescent="0.35"/>
    <row r="25" spans="3:14" ht="30" customHeight="1" x14ac:dyDescent="0.35"/>
    <row r="26" spans="3:14" ht="30" customHeight="1" x14ac:dyDescent="0.35"/>
    <row r="27" spans="3:14" ht="30" customHeight="1" x14ac:dyDescent="0.35"/>
    <row r="28" spans="3:14" ht="30" customHeight="1" x14ac:dyDescent="0.35"/>
    <row r="29" spans="3:14" ht="30" customHeight="1" x14ac:dyDescent="0.35"/>
    <row r="30" spans="3:14" ht="30" customHeight="1" x14ac:dyDescent="0.35"/>
    <row r="31" spans="3:14" ht="30" customHeight="1" x14ac:dyDescent="0.35"/>
    <row r="32" spans="3:14" ht="30" customHeight="1" x14ac:dyDescent="0.35"/>
    <row r="33" ht="30" customHeight="1" x14ac:dyDescent="0.35"/>
    <row r="34" ht="30" customHeight="1" x14ac:dyDescent="0.35"/>
    <row r="35" ht="30" customHeight="1" x14ac:dyDescent="0.35"/>
    <row r="36" ht="30" customHeight="1" x14ac:dyDescent="0.35"/>
    <row r="37" ht="30" customHeight="1" x14ac:dyDescent="0.35"/>
    <row r="38" ht="30" customHeight="1" x14ac:dyDescent="0.35"/>
    <row r="39" ht="30" customHeight="1" x14ac:dyDescent="0.35"/>
    <row r="40" ht="30" customHeight="1" x14ac:dyDescent="0.35"/>
    <row r="41" ht="30" customHeight="1" x14ac:dyDescent="0.35"/>
    <row r="42" ht="30" customHeight="1" x14ac:dyDescent="0.35"/>
    <row r="43" ht="30" customHeight="1" x14ac:dyDescent="0.35"/>
    <row r="44" ht="30" customHeight="1" x14ac:dyDescent="0.35"/>
    <row r="45" ht="30" customHeight="1" x14ac:dyDescent="0.35"/>
    <row r="46" ht="30" customHeight="1" x14ac:dyDescent="0.35"/>
    <row r="47" ht="30" customHeight="1" x14ac:dyDescent="0.35"/>
    <row r="48" ht="30" customHeight="1" x14ac:dyDescent="0.35"/>
    <row r="49" ht="30" customHeight="1" x14ac:dyDescent="0.35"/>
    <row r="50" ht="30" customHeight="1" x14ac:dyDescent="0.35"/>
    <row r="51" ht="30" customHeight="1" x14ac:dyDescent="0.35"/>
    <row r="52" ht="30" customHeight="1" x14ac:dyDescent="0.35"/>
    <row r="53" ht="30" customHeight="1" x14ac:dyDescent="0.35"/>
    <row r="54" ht="30" customHeight="1" x14ac:dyDescent="0.35"/>
    <row r="55" ht="30" customHeight="1" x14ac:dyDescent="0.35"/>
    <row r="56" ht="30" customHeight="1" x14ac:dyDescent="0.35"/>
    <row r="57" ht="30" customHeight="1" x14ac:dyDescent="0.35"/>
    <row r="58" ht="30" customHeight="1" x14ac:dyDescent="0.35"/>
    <row r="59" ht="30" customHeight="1" x14ac:dyDescent="0.35"/>
    <row r="60" ht="30" customHeight="1" x14ac:dyDescent="0.35"/>
    <row r="61" ht="30" customHeight="1" x14ac:dyDescent="0.35"/>
    <row r="62" ht="30" customHeight="1" x14ac:dyDescent="0.35"/>
    <row r="63" ht="30" customHeight="1" x14ac:dyDescent="0.35"/>
    <row r="64" ht="30" customHeight="1" x14ac:dyDescent="0.35"/>
    <row r="65" ht="30" customHeight="1" x14ac:dyDescent="0.35"/>
    <row r="66" ht="30" customHeight="1" x14ac:dyDescent="0.35"/>
    <row r="67" ht="30" customHeight="1" x14ac:dyDescent="0.35"/>
    <row r="68" ht="30" customHeight="1" x14ac:dyDescent="0.35"/>
    <row r="69" ht="30" customHeight="1" x14ac:dyDescent="0.35"/>
    <row r="70" ht="30" customHeight="1" x14ac:dyDescent="0.35"/>
    <row r="71" ht="30" customHeight="1" x14ac:dyDescent="0.35"/>
    <row r="72" ht="30" customHeight="1" x14ac:dyDescent="0.35"/>
    <row r="73" ht="30" customHeight="1" x14ac:dyDescent="0.35"/>
    <row r="74" ht="30" customHeight="1" x14ac:dyDescent="0.35"/>
    <row r="75" ht="30" customHeight="1" x14ac:dyDescent="0.35"/>
    <row r="76" ht="30" customHeight="1" x14ac:dyDescent="0.35"/>
    <row r="77" ht="30" customHeight="1" x14ac:dyDescent="0.35"/>
    <row r="78" ht="30" customHeight="1" x14ac:dyDescent="0.35"/>
    <row r="79" ht="30" customHeight="1" x14ac:dyDescent="0.35"/>
    <row r="80" ht="30" customHeight="1" x14ac:dyDescent="0.35"/>
    <row r="81" ht="30" customHeight="1" x14ac:dyDescent="0.35"/>
    <row r="82" ht="30" customHeight="1" x14ac:dyDescent="0.35"/>
    <row r="83" ht="30" customHeight="1" x14ac:dyDescent="0.35"/>
    <row r="84" ht="30" customHeight="1" x14ac:dyDescent="0.35"/>
    <row r="85" ht="30" customHeight="1" x14ac:dyDescent="0.35"/>
    <row r="86" ht="30" customHeight="1" x14ac:dyDescent="0.35"/>
    <row r="87" ht="30" customHeight="1" x14ac:dyDescent="0.35"/>
    <row r="88" ht="30" customHeight="1" x14ac:dyDescent="0.35"/>
    <row r="89" ht="30" customHeight="1" x14ac:dyDescent="0.35"/>
    <row r="90" ht="30" customHeight="1" x14ac:dyDescent="0.35"/>
    <row r="91" ht="30" customHeight="1" x14ac:dyDescent="0.35"/>
    <row r="92" ht="30" customHeight="1" x14ac:dyDescent="0.35"/>
    <row r="93" ht="30" customHeight="1" x14ac:dyDescent="0.35"/>
    <row r="94" ht="30" customHeight="1" x14ac:dyDescent="0.35"/>
    <row r="95" ht="30" customHeight="1" x14ac:dyDescent="0.35"/>
    <row r="96" ht="30" customHeight="1" x14ac:dyDescent="0.35"/>
    <row r="97" ht="30" customHeight="1" x14ac:dyDescent="0.35"/>
    <row r="98" ht="34" customHeight="1" x14ac:dyDescent="0.35"/>
    <row r="99" ht="34" customHeight="1" x14ac:dyDescent="0.35"/>
    <row r="100" ht="34" customHeight="1" x14ac:dyDescent="0.35"/>
    <row r="101" ht="34" customHeight="1" x14ac:dyDescent="0.35"/>
    <row r="102" ht="34" customHeight="1" x14ac:dyDescent="0.35"/>
    <row r="103" ht="34" customHeight="1" x14ac:dyDescent="0.35"/>
    <row r="104" ht="34" customHeight="1" x14ac:dyDescent="0.35"/>
    <row r="105" ht="34" customHeight="1" x14ac:dyDescent="0.35"/>
    <row r="106" ht="34" customHeight="1" x14ac:dyDescent="0.35"/>
    <row r="107" ht="34" customHeight="1" x14ac:dyDescent="0.35"/>
    <row r="108" ht="34" customHeight="1" x14ac:dyDescent="0.35"/>
    <row r="109" ht="34" customHeight="1" x14ac:dyDescent="0.35"/>
    <row r="110" ht="34" customHeight="1" x14ac:dyDescent="0.35"/>
    <row r="111" ht="34" customHeight="1" x14ac:dyDescent="0.35"/>
    <row r="112" ht="34" customHeight="1" x14ac:dyDescent="0.35"/>
    <row r="113" ht="34" customHeight="1" x14ac:dyDescent="0.35"/>
    <row r="114" ht="34" customHeight="1" x14ac:dyDescent="0.35"/>
    <row r="115" ht="34" customHeight="1" x14ac:dyDescent="0.35"/>
    <row r="116" ht="34" customHeight="1" x14ac:dyDescent="0.35"/>
    <row r="117" ht="34" customHeight="1" x14ac:dyDescent="0.35"/>
    <row r="118" ht="34" customHeight="1" x14ac:dyDescent="0.35"/>
    <row r="119" ht="34" customHeight="1" x14ac:dyDescent="0.35"/>
    <row r="120" ht="34" customHeight="1" x14ac:dyDescent="0.35"/>
    <row r="121" ht="34" customHeight="1" x14ac:dyDescent="0.35"/>
    <row r="122" ht="34" customHeight="1" x14ac:dyDescent="0.35"/>
    <row r="123" ht="34" customHeight="1" x14ac:dyDescent="0.35"/>
    <row r="124" ht="34" customHeight="1" x14ac:dyDescent="0.35"/>
    <row r="125" ht="34" customHeight="1" x14ac:dyDescent="0.35"/>
    <row r="126" ht="34" customHeight="1" x14ac:dyDescent="0.35"/>
    <row r="127" ht="34" hidden="1" customHeight="1" x14ac:dyDescent="0.35"/>
    <row r="128" x14ac:dyDescent="0.35"/>
    <row r="129" x14ac:dyDescent="0.35"/>
    <row r="130" x14ac:dyDescent="0.35"/>
    <row r="131" x14ac:dyDescent="0.35"/>
    <row r="132" x14ac:dyDescent="0.35"/>
    <row r="133" x14ac:dyDescent="0.35"/>
    <row r="134" x14ac:dyDescent="0.35"/>
    <row r="135" x14ac:dyDescent="0.35"/>
    <row r="136" x14ac:dyDescent="0.35"/>
    <row r="137" x14ac:dyDescent="0.35"/>
    <row r="138" x14ac:dyDescent="0.35"/>
    <row r="139" x14ac:dyDescent="0.35"/>
    <row r="140" x14ac:dyDescent="0.35"/>
  </sheetData>
  <mergeCells count="9">
    <mergeCell ref="E12:N12"/>
    <mergeCell ref="E14:N14"/>
    <mergeCell ref="E18:N18"/>
    <mergeCell ref="E2:J4"/>
    <mergeCell ref="E6:N6"/>
    <mergeCell ref="E8:N8"/>
    <mergeCell ref="E10:N10"/>
    <mergeCell ref="K2:N4"/>
    <mergeCell ref="E16:N16"/>
  </mergeCells>
  <pageMargins left="0.511811024" right="0.511811024" top="0.78740157499999996" bottom="0.78740157499999996" header="0.31496062000000002" footer="0.31496062000000002"/>
  <pageSetup paperSize="9" orientation="portrait" r:id="rId1"/>
  <customProperties>
    <customPr name="LastActive" r:id="rId2"/>
  </customPropertie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83E3-0A52-4A96-9CF0-6C5B6FCADC6D}">
  <sheetPr>
    <pageSetUpPr fitToPage="1"/>
  </sheetPr>
  <dimension ref="A1:U308"/>
  <sheetViews>
    <sheetView zoomScale="110" zoomScaleNormal="110" workbookViewId="0">
      <pane ySplit="1" topLeftCell="A113" activePane="bottomLeft" state="frozen"/>
      <selection pane="bottomLeft"/>
    </sheetView>
  </sheetViews>
  <sheetFormatPr defaultColWidth="8.90625" defaultRowHeight="14.5" x14ac:dyDescent="0.35"/>
  <cols>
    <col min="3" max="3" width="72.54296875" customWidth="1"/>
    <col min="4" max="4" width="12.54296875" customWidth="1"/>
    <col min="5" max="6" width="13.453125" customWidth="1"/>
    <col min="7" max="7" width="8.90625" customWidth="1"/>
    <col min="8" max="8" width="13.453125" customWidth="1"/>
    <col min="9" max="9" width="54.90625" customWidth="1"/>
    <col min="10" max="10" width="3.453125" customWidth="1"/>
    <col min="11" max="14" width="20.7265625" customWidth="1"/>
    <col min="15" max="15" width="6.1796875" customWidth="1"/>
    <col min="16" max="16" width="8.90625" customWidth="1"/>
    <col min="17" max="17" width="10.453125" customWidth="1"/>
    <col min="18" max="18" width="54.90625" customWidth="1"/>
    <col min="19" max="19" width="4.1796875" customWidth="1"/>
    <col min="20" max="21" width="20.7265625" customWidth="1"/>
  </cols>
  <sheetData>
    <row r="1" spans="1:21" ht="26.5" customHeight="1" x14ac:dyDescent="0.35">
      <c r="B1" s="628"/>
      <c r="C1" s="628"/>
      <c r="D1" s="628"/>
      <c r="E1" s="628"/>
      <c r="F1" s="66"/>
      <c r="G1" s="66"/>
      <c r="H1" s="66"/>
      <c r="I1" s="66"/>
      <c r="J1" s="66"/>
    </row>
    <row r="2" spans="1:21" ht="12" customHeight="1" thickBot="1" x14ac:dyDescent="0.4"/>
    <row r="3" spans="1:21" ht="15.75" customHeight="1" x14ac:dyDescent="0.35">
      <c r="A3" s="630" t="s">
        <v>20</v>
      </c>
      <c r="B3" s="631" t="s">
        <v>21</v>
      </c>
      <c r="C3" s="634" t="s">
        <v>22</v>
      </c>
      <c r="D3" s="637" t="s">
        <v>23</v>
      </c>
      <c r="E3" s="640" t="s">
        <v>24</v>
      </c>
      <c r="F3" s="189"/>
      <c r="G3" s="629"/>
      <c r="H3" s="629"/>
      <c r="I3" s="629"/>
      <c r="J3" s="629"/>
      <c r="K3" s="626"/>
      <c r="L3" s="626"/>
      <c r="M3" s="626"/>
      <c r="N3" s="626"/>
      <c r="P3" s="629"/>
      <c r="Q3" s="629"/>
      <c r="R3" s="629"/>
      <c r="S3" s="629"/>
      <c r="T3" s="626"/>
      <c r="U3" s="626"/>
    </row>
    <row r="4" spans="1:21" ht="12.75" customHeight="1" x14ac:dyDescent="0.35">
      <c r="A4" s="630"/>
      <c r="B4" s="632"/>
      <c r="C4" s="635"/>
      <c r="D4" s="638"/>
      <c r="E4" s="641"/>
      <c r="F4" s="189"/>
      <c r="G4" s="629"/>
      <c r="H4" s="629"/>
      <c r="I4" s="629"/>
      <c r="J4" s="629"/>
      <c r="K4" s="626"/>
      <c r="L4" s="626"/>
      <c r="M4" s="626"/>
      <c r="N4" s="190"/>
      <c r="P4" s="629"/>
      <c r="Q4" s="629"/>
      <c r="R4" s="629"/>
      <c r="S4" s="629"/>
      <c r="T4" s="627"/>
      <c r="U4" s="627"/>
    </row>
    <row r="5" spans="1:21" ht="12.75" customHeight="1" x14ac:dyDescent="0.35">
      <c r="A5" s="630"/>
      <c r="B5" s="633"/>
      <c r="C5" s="636"/>
      <c r="D5" s="639"/>
      <c r="E5" s="642"/>
      <c r="F5" s="189"/>
      <c r="G5" s="629"/>
      <c r="H5" s="629"/>
      <c r="I5" s="629"/>
      <c r="J5" s="629"/>
      <c r="K5" s="190"/>
      <c r="L5" s="190"/>
      <c r="M5" s="190"/>
      <c r="N5" s="190"/>
      <c r="P5" s="629"/>
      <c r="Q5" s="629"/>
      <c r="R5" s="629"/>
      <c r="S5" s="629"/>
      <c r="T5" s="627"/>
      <c r="U5" s="627"/>
    </row>
    <row r="6" spans="1:21" ht="15" customHeight="1" x14ac:dyDescent="0.45">
      <c r="B6" s="191">
        <v>1</v>
      </c>
      <c r="C6" s="192" t="s">
        <v>25</v>
      </c>
      <c r="D6" s="193"/>
      <c r="E6" s="194"/>
      <c r="F6" s="18"/>
      <c r="G6" s="18"/>
      <c r="H6" s="624"/>
      <c r="I6" s="624"/>
      <c r="J6" s="129"/>
      <c r="Q6" s="625"/>
      <c r="R6" s="625"/>
      <c r="S6" s="625"/>
      <c r="T6" s="625"/>
      <c r="U6" s="625"/>
    </row>
    <row r="7" spans="1:21" ht="15" customHeight="1" x14ac:dyDescent="0.45">
      <c r="B7" s="195" t="s">
        <v>26</v>
      </c>
      <c r="C7" s="192" t="s">
        <v>27</v>
      </c>
      <c r="D7" s="196">
        <v>1</v>
      </c>
      <c r="E7" s="194"/>
      <c r="F7" s="18"/>
      <c r="G7" s="18"/>
      <c r="H7" s="624"/>
      <c r="I7" s="624"/>
      <c r="J7" s="129"/>
      <c r="Q7" s="625"/>
      <c r="R7" s="625"/>
      <c r="S7" s="625"/>
      <c r="T7" s="625"/>
      <c r="U7" s="625"/>
    </row>
    <row r="8" spans="1:21" x14ac:dyDescent="0.35">
      <c r="B8" s="197" t="s">
        <v>28</v>
      </c>
      <c r="C8" s="198" t="s">
        <v>29</v>
      </c>
      <c r="D8" s="199">
        <v>11</v>
      </c>
      <c r="E8" s="200"/>
      <c r="H8" s="201"/>
      <c r="Q8" s="66"/>
    </row>
    <row r="9" spans="1:21" x14ac:dyDescent="0.35">
      <c r="B9" s="202" t="s">
        <v>30</v>
      </c>
      <c r="C9" t="s">
        <v>31</v>
      </c>
      <c r="D9" s="66" t="s">
        <v>32</v>
      </c>
      <c r="E9" s="203" t="s">
        <v>33</v>
      </c>
      <c r="H9" s="66"/>
      <c r="K9" s="66"/>
      <c r="L9" s="66"/>
      <c r="M9" s="66"/>
      <c r="N9" s="66"/>
      <c r="Q9" s="66"/>
    </row>
    <row r="10" spans="1:21" x14ac:dyDescent="0.35">
      <c r="B10" s="202" t="s">
        <v>34</v>
      </c>
      <c r="C10" t="s">
        <v>35</v>
      </c>
      <c r="D10" s="66" t="s">
        <v>36</v>
      </c>
      <c r="E10" s="203" t="s">
        <v>33</v>
      </c>
      <c r="H10" s="66"/>
      <c r="K10" s="66"/>
      <c r="L10" s="66"/>
      <c r="M10" s="66"/>
      <c r="N10" s="66"/>
      <c r="Q10" s="66"/>
    </row>
    <row r="11" spans="1:21" x14ac:dyDescent="0.35">
      <c r="B11" s="202" t="s">
        <v>37</v>
      </c>
      <c r="C11" t="s">
        <v>38</v>
      </c>
      <c r="D11" s="66" t="s">
        <v>39</v>
      </c>
      <c r="E11" s="203" t="s">
        <v>33</v>
      </c>
      <c r="H11" s="66"/>
      <c r="K11" s="66"/>
      <c r="L11" s="66"/>
      <c r="M11" s="66"/>
      <c r="N11" s="66"/>
      <c r="Q11" s="66"/>
    </row>
    <row r="12" spans="1:21" x14ac:dyDescent="0.35">
      <c r="B12" s="202" t="s">
        <v>40</v>
      </c>
      <c r="C12" t="s">
        <v>41</v>
      </c>
      <c r="D12" s="66" t="s">
        <v>42</v>
      </c>
      <c r="E12" s="203" t="s">
        <v>33</v>
      </c>
      <c r="H12" s="66"/>
      <c r="K12" s="66"/>
      <c r="L12" s="66"/>
      <c r="M12" s="66"/>
      <c r="N12" s="66"/>
      <c r="Q12" s="66"/>
    </row>
    <row r="13" spans="1:21" ht="18.5" x14ac:dyDescent="0.45">
      <c r="B13" s="202" t="s">
        <v>43</v>
      </c>
      <c r="C13" t="s">
        <v>44</v>
      </c>
      <c r="D13" s="66" t="s">
        <v>45</v>
      </c>
      <c r="E13" s="203" t="s">
        <v>33</v>
      </c>
      <c r="H13" s="66"/>
      <c r="K13" s="66"/>
      <c r="L13" s="66"/>
      <c r="M13" s="66"/>
      <c r="N13" s="66"/>
      <c r="P13" s="18"/>
      <c r="Q13" s="66"/>
    </row>
    <row r="14" spans="1:21" ht="18.5" x14ac:dyDescent="0.45">
      <c r="B14" s="202" t="s">
        <v>46</v>
      </c>
      <c r="C14" t="s">
        <v>47</v>
      </c>
      <c r="D14" s="66" t="s">
        <v>48</v>
      </c>
      <c r="E14" s="203" t="s">
        <v>33</v>
      </c>
      <c r="H14" s="66"/>
      <c r="K14" s="66"/>
      <c r="L14" s="66"/>
      <c r="M14" s="66"/>
      <c r="N14" s="66"/>
      <c r="P14" s="18"/>
      <c r="Q14" s="66"/>
    </row>
    <row r="15" spans="1:21" x14ac:dyDescent="0.35">
      <c r="B15" s="202" t="s">
        <v>49</v>
      </c>
      <c r="C15" t="s">
        <v>50</v>
      </c>
      <c r="D15" s="66" t="s">
        <v>51</v>
      </c>
      <c r="E15" s="203" t="s">
        <v>33</v>
      </c>
      <c r="H15" s="66"/>
      <c r="K15" s="66"/>
      <c r="L15" s="66"/>
      <c r="M15" s="66"/>
      <c r="N15" s="66"/>
      <c r="Q15" s="66"/>
    </row>
    <row r="16" spans="1:21" x14ac:dyDescent="0.35">
      <c r="B16" s="202" t="s">
        <v>52</v>
      </c>
      <c r="C16" t="s">
        <v>53</v>
      </c>
      <c r="D16" s="66" t="s">
        <v>54</v>
      </c>
      <c r="E16" s="203" t="s">
        <v>33</v>
      </c>
      <c r="H16" s="66"/>
      <c r="K16" s="66"/>
      <c r="L16" s="66"/>
      <c r="M16" s="66"/>
      <c r="N16" s="66"/>
      <c r="Q16" s="66"/>
    </row>
    <row r="17" spans="2:19" x14ac:dyDescent="0.35">
      <c r="B17" s="202" t="s">
        <v>55</v>
      </c>
      <c r="C17" t="s">
        <v>56</v>
      </c>
      <c r="D17" s="66" t="s">
        <v>57</v>
      </c>
      <c r="E17" s="203" t="s">
        <v>33</v>
      </c>
      <c r="H17" s="66"/>
      <c r="K17" s="66"/>
      <c r="L17" s="66"/>
      <c r="M17" s="66"/>
      <c r="N17" s="66"/>
      <c r="Q17" s="66"/>
    </row>
    <row r="18" spans="2:19" x14ac:dyDescent="0.35">
      <c r="B18" s="202" t="s">
        <v>58</v>
      </c>
      <c r="C18" t="s">
        <v>59</v>
      </c>
      <c r="D18" s="66" t="s">
        <v>60</v>
      </c>
      <c r="E18" s="203" t="s">
        <v>61</v>
      </c>
      <c r="H18" s="66"/>
      <c r="K18" s="66"/>
      <c r="L18" s="66"/>
      <c r="M18" s="66"/>
      <c r="N18" s="66"/>
      <c r="Q18" s="66"/>
    </row>
    <row r="19" spans="2:19" x14ac:dyDescent="0.35">
      <c r="B19" s="204" t="s">
        <v>62</v>
      </c>
      <c r="C19" s="205" t="s">
        <v>63</v>
      </c>
      <c r="D19" s="206">
        <v>12</v>
      </c>
      <c r="E19" s="207"/>
      <c r="H19" s="201"/>
      <c r="Q19" s="66"/>
    </row>
    <row r="20" spans="2:19" x14ac:dyDescent="0.35">
      <c r="B20" s="202" t="s">
        <v>64</v>
      </c>
      <c r="C20" t="s">
        <v>65</v>
      </c>
      <c r="D20" s="66" t="s">
        <v>66</v>
      </c>
      <c r="E20" s="203" t="s">
        <v>33</v>
      </c>
      <c r="H20" s="66"/>
      <c r="K20" s="66"/>
      <c r="L20" s="66"/>
      <c r="M20" s="66"/>
      <c r="N20" s="66"/>
      <c r="Q20" s="66"/>
    </row>
    <row r="21" spans="2:19" x14ac:dyDescent="0.35">
      <c r="B21" s="202" t="s">
        <v>67</v>
      </c>
      <c r="C21" t="s">
        <v>68</v>
      </c>
      <c r="D21" s="66" t="s">
        <v>69</v>
      </c>
      <c r="E21" s="203" t="s">
        <v>33</v>
      </c>
      <c r="H21" s="66"/>
      <c r="K21" s="66"/>
      <c r="L21" s="66"/>
      <c r="M21" s="66"/>
      <c r="N21" s="66"/>
      <c r="Q21" s="66"/>
    </row>
    <row r="22" spans="2:19" x14ac:dyDescent="0.35">
      <c r="B22" s="202" t="s">
        <v>70</v>
      </c>
      <c r="C22" t="s">
        <v>71</v>
      </c>
      <c r="D22" s="66" t="s">
        <v>72</v>
      </c>
      <c r="E22" s="203" t="s">
        <v>33</v>
      </c>
      <c r="H22" s="66"/>
      <c r="K22" s="66"/>
      <c r="L22" s="66"/>
      <c r="M22" s="66"/>
      <c r="N22" s="66"/>
      <c r="Q22" s="66"/>
    </row>
    <row r="23" spans="2:19" x14ac:dyDescent="0.35">
      <c r="B23" s="202" t="s">
        <v>73</v>
      </c>
      <c r="C23" t="s">
        <v>74</v>
      </c>
      <c r="D23" s="66" t="s">
        <v>75</v>
      </c>
      <c r="E23" s="203" t="s">
        <v>33</v>
      </c>
      <c r="H23" s="66"/>
      <c r="K23" s="66"/>
      <c r="L23" s="66"/>
      <c r="M23" s="66"/>
      <c r="N23" s="66"/>
      <c r="Q23" s="66"/>
    </row>
    <row r="24" spans="2:19" ht="15.65" customHeight="1" x14ac:dyDescent="0.35">
      <c r="B24" s="202" t="s">
        <v>76</v>
      </c>
      <c r="C24" t="s">
        <v>77</v>
      </c>
      <c r="D24" s="66" t="s">
        <v>78</v>
      </c>
      <c r="E24" s="203" t="s">
        <v>33</v>
      </c>
      <c r="H24" s="66"/>
      <c r="K24" s="66"/>
      <c r="L24" s="66"/>
      <c r="M24" s="66"/>
      <c r="N24" s="66"/>
      <c r="Q24" s="66"/>
      <c r="R24" s="208"/>
      <c r="S24" s="208"/>
    </row>
    <row r="25" spans="2:19" x14ac:dyDescent="0.35">
      <c r="B25" s="202" t="s">
        <v>79</v>
      </c>
      <c r="C25" t="s">
        <v>80</v>
      </c>
      <c r="D25" s="66" t="s">
        <v>81</v>
      </c>
      <c r="E25" s="203" t="s">
        <v>33</v>
      </c>
      <c r="H25" s="66"/>
      <c r="K25" s="66"/>
      <c r="L25" s="66"/>
      <c r="M25" s="66"/>
      <c r="N25" s="66"/>
      <c r="Q25" s="66"/>
    </row>
    <row r="26" spans="2:19" x14ac:dyDescent="0.35">
      <c r="B26" s="202" t="s">
        <v>82</v>
      </c>
      <c r="C26" t="s">
        <v>83</v>
      </c>
      <c r="D26" s="66" t="s">
        <v>84</v>
      </c>
      <c r="E26" s="203" t="s">
        <v>61</v>
      </c>
      <c r="H26" s="66"/>
      <c r="K26" s="66"/>
      <c r="L26" s="66"/>
      <c r="M26" s="66"/>
      <c r="N26" s="66"/>
      <c r="Q26" s="66"/>
    </row>
    <row r="27" spans="2:19" x14ac:dyDescent="0.35">
      <c r="B27" s="204" t="s">
        <v>85</v>
      </c>
      <c r="C27" s="205" t="s">
        <v>86</v>
      </c>
      <c r="D27" s="206">
        <v>13</v>
      </c>
      <c r="E27" s="207"/>
      <c r="H27" s="201"/>
      <c r="Q27" s="16"/>
    </row>
    <row r="28" spans="2:19" x14ac:dyDescent="0.35">
      <c r="B28" s="202" t="s">
        <v>87</v>
      </c>
      <c r="C28" t="s">
        <v>88</v>
      </c>
      <c r="D28" s="66" t="s">
        <v>89</v>
      </c>
      <c r="E28" s="203" t="s">
        <v>33</v>
      </c>
      <c r="H28" s="66"/>
    </row>
    <row r="29" spans="2:19" ht="18.5" x14ac:dyDescent="0.45">
      <c r="B29" s="202" t="s">
        <v>90</v>
      </c>
      <c r="C29" t="s">
        <v>91</v>
      </c>
      <c r="D29" s="66" t="s">
        <v>92</v>
      </c>
      <c r="E29" s="203" t="s">
        <v>33</v>
      </c>
      <c r="H29" s="66"/>
      <c r="Q29" s="624"/>
      <c r="R29" s="624"/>
      <c r="S29" s="129"/>
    </row>
    <row r="30" spans="2:19" ht="18.5" x14ac:dyDescent="0.45">
      <c r="B30" s="202" t="s">
        <v>93</v>
      </c>
      <c r="C30" t="s">
        <v>94</v>
      </c>
      <c r="D30" s="66" t="s">
        <v>95</v>
      </c>
      <c r="E30" s="203" t="s">
        <v>33</v>
      </c>
      <c r="H30" s="66"/>
      <c r="Q30" s="209"/>
      <c r="R30" s="18"/>
      <c r="S30" s="18"/>
    </row>
    <row r="31" spans="2:19" ht="18.5" x14ac:dyDescent="0.45">
      <c r="B31" s="202" t="s">
        <v>96</v>
      </c>
      <c r="C31" t="s">
        <v>97</v>
      </c>
      <c r="D31" s="66" t="s">
        <v>98</v>
      </c>
      <c r="E31" s="203" t="s">
        <v>33</v>
      </c>
      <c r="H31" s="66"/>
      <c r="Q31" s="624"/>
      <c r="R31" s="624"/>
      <c r="S31" s="129"/>
    </row>
    <row r="32" spans="2:19" x14ac:dyDescent="0.35">
      <c r="B32" s="202" t="s">
        <v>99</v>
      </c>
      <c r="C32" t="s">
        <v>100</v>
      </c>
      <c r="D32" s="66" t="s">
        <v>101</v>
      </c>
      <c r="E32" s="203" t="s">
        <v>33</v>
      </c>
      <c r="H32" s="66"/>
      <c r="Q32" s="16"/>
    </row>
    <row r="33" spans="2:19" x14ac:dyDescent="0.35">
      <c r="B33" s="202" t="s">
        <v>102</v>
      </c>
      <c r="C33" t="s">
        <v>103</v>
      </c>
      <c r="D33" s="66" t="s">
        <v>104</v>
      </c>
      <c r="E33" s="203" t="s">
        <v>33</v>
      </c>
      <c r="H33" s="66"/>
      <c r="Q33" s="66"/>
    </row>
    <row r="34" spans="2:19" x14ac:dyDescent="0.35">
      <c r="B34" s="202" t="s">
        <v>105</v>
      </c>
      <c r="C34" t="s">
        <v>91</v>
      </c>
      <c r="D34" s="66" t="s">
        <v>106</v>
      </c>
      <c r="E34" s="203" t="s">
        <v>33</v>
      </c>
      <c r="H34" s="66"/>
      <c r="Q34" s="66"/>
    </row>
    <row r="35" spans="2:19" x14ac:dyDescent="0.35">
      <c r="B35" s="202" t="s">
        <v>107</v>
      </c>
      <c r="C35" t="s">
        <v>94</v>
      </c>
      <c r="D35" s="66" t="s">
        <v>108</v>
      </c>
      <c r="E35" s="203" t="s">
        <v>33</v>
      </c>
      <c r="H35" s="66"/>
      <c r="Q35" s="66"/>
    </row>
    <row r="36" spans="2:19" ht="18.5" x14ac:dyDescent="0.45">
      <c r="B36" s="202" t="s">
        <v>109</v>
      </c>
      <c r="C36" t="s">
        <v>97</v>
      </c>
      <c r="D36" s="66" t="s">
        <v>110</v>
      </c>
      <c r="E36" s="203" t="s">
        <v>33</v>
      </c>
      <c r="H36" s="66"/>
      <c r="P36" s="18"/>
      <c r="Q36" s="66"/>
    </row>
    <row r="37" spans="2:19" x14ac:dyDescent="0.35">
      <c r="B37" s="202" t="s">
        <v>111</v>
      </c>
      <c r="C37" t="s">
        <v>100</v>
      </c>
      <c r="D37" s="66" t="s">
        <v>112</v>
      </c>
      <c r="E37" s="203" t="s">
        <v>33</v>
      </c>
      <c r="H37" s="66"/>
      <c r="Q37" s="66"/>
    </row>
    <row r="38" spans="2:19" x14ac:dyDescent="0.35">
      <c r="B38" s="204" t="s">
        <v>113</v>
      </c>
      <c r="C38" s="205" t="s">
        <v>114</v>
      </c>
      <c r="D38" s="210"/>
      <c r="E38" s="207"/>
      <c r="H38" s="66"/>
      <c r="Q38" s="66"/>
    </row>
    <row r="39" spans="2:19" x14ac:dyDescent="0.35">
      <c r="B39" s="202" t="s">
        <v>115</v>
      </c>
      <c r="C39" t="s">
        <v>116</v>
      </c>
      <c r="D39" s="66" t="s">
        <v>117</v>
      </c>
      <c r="E39" s="203" t="s">
        <v>33</v>
      </c>
      <c r="H39" s="66"/>
      <c r="Q39" s="66"/>
    </row>
    <row r="40" spans="2:19" x14ac:dyDescent="0.35">
      <c r="B40" s="202" t="s">
        <v>118</v>
      </c>
      <c r="C40" t="s">
        <v>119</v>
      </c>
      <c r="D40" s="66" t="s">
        <v>120</v>
      </c>
      <c r="E40" s="203" t="s">
        <v>33</v>
      </c>
      <c r="H40" s="66"/>
      <c r="Q40" s="66"/>
    </row>
    <row r="41" spans="2:19" x14ac:dyDescent="0.35">
      <c r="B41" s="202" t="s">
        <v>121</v>
      </c>
      <c r="C41" t="s">
        <v>122</v>
      </c>
      <c r="D41" s="66" t="s">
        <v>123</v>
      </c>
      <c r="E41" s="203" t="s">
        <v>33</v>
      </c>
      <c r="H41" s="66"/>
      <c r="Q41" s="66"/>
    </row>
    <row r="42" spans="2:19" x14ac:dyDescent="0.35">
      <c r="B42" s="202" t="s">
        <v>124</v>
      </c>
      <c r="C42" t="s">
        <v>125</v>
      </c>
      <c r="D42" s="66" t="s">
        <v>126</v>
      </c>
      <c r="E42" s="203" t="s">
        <v>33</v>
      </c>
      <c r="H42" s="66"/>
      <c r="Q42" s="66"/>
    </row>
    <row r="43" spans="2:19" x14ac:dyDescent="0.35">
      <c r="B43" s="202" t="s">
        <v>127</v>
      </c>
      <c r="C43" t="s">
        <v>128</v>
      </c>
      <c r="D43" s="66" t="s">
        <v>129</v>
      </c>
      <c r="E43" s="203" t="s">
        <v>33</v>
      </c>
      <c r="H43" s="66"/>
      <c r="Q43" s="66"/>
    </row>
    <row r="44" spans="2:19" x14ac:dyDescent="0.35">
      <c r="B44" s="202" t="s">
        <v>130</v>
      </c>
      <c r="C44" t="s">
        <v>131</v>
      </c>
      <c r="D44" s="66" t="s">
        <v>132</v>
      </c>
      <c r="E44" s="203" t="s">
        <v>61</v>
      </c>
      <c r="H44" s="66"/>
      <c r="Q44" s="66"/>
    </row>
    <row r="45" spans="2:19" ht="18.5" x14ac:dyDescent="0.45">
      <c r="B45" s="204" t="s">
        <v>133</v>
      </c>
      <c r="C45" s="205" t="s">
        <v>134</v>
      </c>
      <c r="D45" s="206">
        <v>19</v>
      </c>
      <c r="E45" s="207"/>
      <c r="H45" s="66"/>
      <c r="Q45" s="624"/>
      <c r="R45" s="624"/>
      <c r="S45" s="129"/>
    </row>
    <row r="46" spans="2:19" x14ac:dyDescent="0.35">
      <c r="B46" s="202" t="s">
        <v>135</v>
      </c>
      <c r="C46" t="s">
        <v>136</v>
      </c>
      <c r="D46" s="66" t="s">
        <v>137</v>
      </c>
      <c r="E46" s="203" t="s">
        <v>61</v>
      </c>
      <c r="H46" s="66"/>
      <c r="I46" s="27"/>
      <c r="J46" s="27"/>
      <c r="Q46" s="66"/>
    </row>
    <row r="47" spans="2:19" x14ac:dyDescent="0.35">
      <c r="B47" s="202" t="s">
        <v>138</v>
      </c>
      <c r="C47" t="s">
        <v>139</v>
      </c>
      <c r="D47" s="66" t="s">
        <v>140</v>
      </c>
      <c r="E47" s="203" t="s">
        <v>61</v>
      </c>
      <c r="Q47" s="66"/>
    </row>
    <row r="48" spans="2:19" ht="18.5" x14ac:dyDescent="0.45">
      <c r="B48" s="202" t="s">
        <v>141</v>
      </c>
      <c r="C48" t="s">
        <v>142</v>
      </c>
      <c r="D48" s="66" t="s">
        <v>143</v>
      </c>
      <c r="E48" s="203" t="s">
        <v>61</v>
      </c>
      <c r="H48" s="624"/>
      <c r="I48" s="624"/>
      <c r="J48" s="129"/>
      <c r="P48" s="18"/>
      <c r="Q48" s="66"/>
    </row>
    <row r="49" spans="2:17" ht="18.5" x14ac:dyDescent="0.45">
      <c r="B49" s="202" t="s">
        <v>144</v>
      </c>
      <c r="C49" t="s">
        <v>122</v>
      </c>
      <c r="D49" s="66" t="s">
        <v>145</v>
      </c>
      <c r="E49" s="203" t="s">
        <v>61</v>
      </c>
      <c r="H49" s="18"/>
      <c r="I49" s="18"/>
      <c r="J49" s="18"/>
      <c r="Q49" s="66"/>
    </row>
    <row r="50" spans="2:17" ht="18.5" x14ac:dyDescent="0.45">
      <c r="B50" s="202" t="s">
        <v>146</v>
      </c>
      <c r="C50" t="s">
        <v>147</v>
      </c>
      <c r="D50" s="66" t="s">
        <v>148</v>
      </c>
      <c r="E50" s="203" t="s">
        <v>61</v>
      </c>
      <c r="H50" s="624"/>
      <c r="I50" s="624"/>
      <c r="J50" s="129"/>
      <c r="Q50" s="66"/>
    </row>
    <row r="51" spans="2:17" x14ac:dyDescent="0.35">
      <c r="B51" s="204" t="s">
        <v>149</v>
      </c>
      <c r="C51" s="211" t="s">
        <v>150</v>
      </c>
      <c r="D51" s="210"/>
      <c r="E51" s="207" t="s">
        <v>33</v>
      </c>
      <c r="H51" s="66"/>
      <c r="Q51" s="66"/>
    </row>
    <row r="52" spans="2:17" x14ac:dyDescent="0.35">
      <c r="B52" s="202"/>
      <c r="D52" s="66"/>
      <c r="E52" s="203"/>
      <c r="H52" s="201"/>
      <c r="Q52" s="66"/>
    </row>
    <row r="53" spans="2:17" ht="18.5" x14ac:dyDescent="0.45">
      <c r="B53" s="212" t="s">
        <v>151</v>
      </c>
      <c r="C53" s="192" t="s">
        <v>152</v>
      </c>
      <c r="D53" s="196">
        <v>2</v>
      </c>
      <c r="E53" s="194"/>
      <c r="F53" s="18"/>
      <c r="G53" s="18"/>
      <c r="H53" s="201"/>
      <c r="Q53" s="66"/>
    </row>
    <row r="54" spans="2:17" x14ac:dyDescent="0.35">
      <c r="B54" s="197" t="s">
        <v>153</v>
      </c>
      <c r="C54" s="198" t="s">
        <v>154</v>
      </c>
      <c r="D54" s="213"/>
      <c r="E54" s="200"/>
      <c r="H54" s="201"/>
      <c r="Q54" s="66"/>
    </row>
    <row r="55" spans="2:17" x14ac:dyDescent="0.35">
      <c r="B55" s="202" t="s">
        <v>155</v>
      </c>
      <c r="C55" t="s">
        <v>156</v>
      </c>
      <c r="D55" s="201">
        <v>22</v>
      </c>
      <c r="E55" s="203" t="s">
        <v>33</v>
      </c>
      <c r="H55" s="201"/>
      <c r="Q55" s="66"/>
    </row>
    <row r="56" spans="2:17" x14ac:dyDescent="0.35">
      <c r="B56" s="202" t="s">
        <v>157</v>
      </c>
      <c r="C56" t="s">
        <v>158</v>
      </c>
      <c r="D56" s="201">
        <v>23</v>
      </c>
      <c r="E56" s="203" t="s">
        <v>33</v>
      </c>
      <c r="H56" s="201"/>
      <c r="Q56" s="66"/>
    </row>
    <row r="57" spans="2:17" x14ac:dyDescent="0.35">
      <c r="B57" s="202" t="s">
        <v>159</v>
      </c>
      <c r="C57" t="s">
        <v>160</v>
      </c>
      <c r="D57" s="201">
        <v>24</v>
      </c>
      <c r="E57" s="203" t="s">
        <v>33</v>
      </c>
      <c r="H57" s="201"/>
      <c r="Q57" s="66"/>
    </row>
    <row r="58" spans="2:17" x14ac:dyDescent="0.35">
      <c r="B58" s="202" t="s">
        <v>161</v>
      </c>
      <c r="C58" t="s">
        <v>162</v>
      </c>
      <c r="D58" s="201">
        <v>25</v>
      </c>
      <c r="E58" s="203" t="s">
        <v>33</v>
      </c>
      <c r="H58" s="201"/>
      <c r="I58" s="27"/>
      <c r="J58" s="27"/>
      <c r="Q58" s="66"/>
    </row>
    <row r="59" spans="2:17" x14ac:dyDescent="0.35">
      <c r="B59" s="202" t="s">
        <v>163</v>
      </c>
      <c r="C59" t="s">
        <v>164</v>
      </c>
      <c r="D59" s="201">
        <v>26</v>
      </c>
      <c r="E59" s="203" t="s">
        <v>33</v>
      </c>
      <c r="H59" s="66"/>
      <c r="Q59" s="66"/>
    </row>
    <row r="60" spans="2:17" x14ac:dyDescent="0.35">
      <c r="B60" s="202" t="s">
        <v>165</v>
      </c>
      <c r="C60" t="s">
        <v>166</v>
      </c>
      <c r="D60" s="201">
        <v>27</v>
      </c>
      <c r="E60" s="203" t="s">
        <v>33</v>
      </c>
      <c r="H60" s="66"/>
      <c r="Q60" s="66"/>
    </row>
    <row r="61" spans="2:17" x14ac:dyDescent="0.35">
      <c r="B61" s="202" t="s">
        <v>167</v>
      </c>
      <c r="C61" s="27" t="s">
        <v>168</v>
      </c>
      <c r="D61" s="201">
        <v>28</v>
      </c>
      <c r="E61" s="203" t="s">
        <v>33</v>
      </c>
      <c r="H61" s="66"/>
      <c r="Q61" s="66"/>
    </row>
    <row r="62" spans="2:17" x14ac:dyDescent="0.35">
      <c r="B62" s="202" t="s">
        <v>169</v>
      </c>
      <c r="C62" s="27" t="s">
        <v>170</v>
      </c>
      <c r="D62" s="201">
        <v>29</v>
      </c>
      <c r="E62" s="203" t="s">
        <v>61</v>
      </c>
      <c r="H62" s="66"/>
      <c r="Q62" s="66"/>
    </row>
    <row r="63" spans="2:17" x14ac:dyDescent="0.35">
      <c r="B63" s="204" t="s">
        <v>171</v>
      </c>
      <c r="C63" s="205" t="s">
        <v>172</v>
      </c>
      <c r="D63" s="210"/>
      <c r="E63" s="207" t="s">
        <v>33</v>
      </c>
      <c r="H63" s="66"/>
      <c r="Q63" s="16"/>
    </row>
    <row r="64" spans="2:17" x14ac:dyDescent="0.35">
      <c r="B64" s="202" t="s">
        <v>173</v>
      </c>
      <c r="C64" t="s">
        <v>174</v>
      </c>
      <c r="D64" s="66" t="s">
        <v>175</v>
      </c>
      <c r="E64" s="203" t="s">
        <v>33</v>
      </c>
      <c r="H64" s="201"/>
      <c r="Q64" s="66"/>
    </row>
    <row r="65" spans="2:17" x14ac:dyDescent="0.35">
      <c r="B65" s="202" t="s">
        <v>176</v>
      </c>
      <c r="C65" t="s">
        <v>177</v>
      </c>
      <c r="D65" s="66" t="s">
        <v>178</v>
      </c>
      <c r="E65" s="203" t="s">
        <v>33</v>
      </c>
      <c r="H65" s="201"/>
      <c r="Q65" s="66"/>
    </row>
    <row r="66" spans="2:17" x14ac:dyDescent="0.35">
      <c r="B66" s="202" t="s">
        <v>179</v>
      </c>
      <c r="C66" t="s">
        <v>180</v>
      </c>
      <c r="D66" s="66" t="s">
        <v>181</v>
      </c>
      <c r="E66" s="203" t="s">
        <v>33</v>
      </c>
      <c r="H66" s="201"/>
      <c r="Q66" s="66"/>
    </row>
    <row r="67" spans="2:17" x14ac:dyDescent="0.35">
      <c r="B67" s="202" t="s">
        <v>182</v>
      </c>
      <c r="C67" t="s">
        <v>183</v>
      </c>
      <c r="D67" s="66" t="s">
        <v>184</v>
      </c>
      <c r="E67" s="203" t="s">
        <v>33</v>
      </c>
      <c r="H67" s="66"/>
      <c r="Q67" s="66"/>
    </row>
    <row r="68" spans="2:17" x14ac:dyDescent="0.35">
      <c r="B68" s="202" t="s">
        <v>185</v>
      </c>
      <c r="C68" t="s">
        <v>186</v>
      </c>
      <c r="D68" s="201">
        <v>34</v>
      </c>
      <c r="E68" s="203" t="s">
        <v>33</v>
      </c>
      <c r="H68" s="201"/>
      <c r="I68" s="27"/>
      <c r="J68" s="27"/>
      <c r="Q68" s="66"/>
    </row>
    <row r="69" spans="2:17" x14ac:dyDescent="0.35">
      <c r="B69" s="202" t="s">
        <v>187</v>
      </c>
      <c r="C69" t="s">
        <v>188</v>
      </c>
      <c r="D69" s="201">
        <v>35</v>
      </c>
      <c r="E69" s="203" t="s">
        <v>33</v>
      </c>
      <c r="H69" s="66"/>
      <c r="Q69" s="66"/>
    </row>
    <row r="70" spans="2:17" x14ac:dyDescent="0.35">
      <c r="B70" s="202" t="s">
        <v>189</v>
      </c>
      <c r="C70" t="s">
        <v>190</v>
      </c>
      <c r="D70" s="201">
        <v>36</v>
      </c>
      <c r="E70" s="203" t="s">
        <v>33</v>
      </c>
      <c r="H70" s="201"/>
      <c r="Q70" s="66"/>
    </row>
    <row r="71" spans="2:17" x14ac:dyDescent="0.35">
      <c r="B71" s="202" t="s">
        <v>191</v>
      </c>
      <c r="C71" t="s">
        <v>192</v>
      </c>
      <c r="D71" s="66" t="s">
        <v>193</v>
      </c>
      <c r="E71" s="203" t="s">
        <v>33</v>
      </c>
      <c r="H71" s="201"/>
      <c r="Q71" s="66"/>
    </row>
    <row r="72" spans="2:17" x14ac:dyDescent="0.35">
      <c r="B72" s="202" t="s">
        <v>194</v>
      </c>
      <c r="C72" s="27" t="s">
        <v>195</v>
      </c>
      <c r="D72" s="66"/>
      <c r="E72" s="203"/>
      <c r="H72" s="201"/>
      <c r="Q72" s="66"/>
    </row>
    <row r="73" spans="2:17" x14ac:dyDescent="0.35">
      <c r="B73" s="202" t="s">
        <v>196</v>
      </c>
      <c r="C73" t="s">
        <v>197</v>
      </c>
      <c r="D73" s="201">
        <v>38</v>
      </c>
      <c r="E73" s="203" t="s">
        <v>61</v>
      </c>
      <c r="H73" s="201"/>
      <c r="Q73" s="66"/>
    </row>
    <row r="74" spans="2:17" x14ac:dyDescent="0.35">
      <c r="B74" s="202"/>
      <c r="C74" t="s">
        <v>198</v>
      </c>
      <c r="D74" s="66" t="s">
        <v>199</v>
      </c>
      <c r="E74" s="203"/>
      <c r="H74" s="201"/>
      <c r="Q74" s="66"/>
    </row>
    <row r="75" spans="2:17" x14ac:dyDescent="0.35">
      <c r="B75" s="202"/>
      <c r="C75" t="s">
        <v>200</v>
      </c>
      <c r="D75" s="66" t="s">
        <v>201</v>
      </c>
      <c r="E75" s="203" t="s">
        <v>61</v>
      </c>
      <c r="H75" s="201"/>
      <c r="Q75" s="66"/>
    </row>
    <row r="76" spans="2:17" x14ac:dyDescent="0.35">
      <c r="B76" s="202"/>
      <c r="C76" t="s">
        <v>202</v>
      </c>
      <c r="D76" s="66" t="s">
        <v>203</v>
      </c>
      <c r="E76" s="203" t="s">
        <v>61</v>
      </c>
      <c r="H76" s="201"/>
      <c r="Q76" s="66"/>
    </row>
    <row r="77" spans="2:17" x14ac:dyDescent="0.35">
      <c r="B77" s="202"/>
      <c r="C77" t="s">
        <v>204</v>
      </c>
      <c r="D77" s="66" t="s">
        <v>205</v>
      </c>
      <c r="E77" s="203" t="s">
        <v>61</v>
      </c>
      <c r="H77" s="201"/>
      <c r="Q77" s="66"/>
    </row>
    <row r="78" spans="2:17" x14ac:dyDescent="0.35">
      <c r="B78" s="202"/>
      <c r="C78" t="s">
        <v>206</v>
      </c>
      <c r="D78" s="66" t="s">
        <v>207</v>
      </c>
      <c r="E78" s="203" t="s">
        <v>61</v>
      </c>
      <c r="H78" s="66"/>
      <c r="Q78" s="66"/>
    </row>
    <row r="79" spans="2:17" x14ac:dyDescent="0.35">
      <c r="B79" s="204" t="s">
        <v>208</v>
      </c>
      <c r="C79" s="205" t="s">
        <v>209</v>
      </c>
      <c r="D79" s="210"/>
      <c r="E79" s="207"/>
      <c r="H79" s="66"/>
      <c r="Q79" s="16"/>
    </row>
    <row r="80" spans="2:17" x14ac:dyDescent="0.35">
      <c r="B80" s="202" t="s">
        <v>210</v>
      </c>
      <c r="C80" t="s">
        <v>211</v>
      </c>
      <c r="D80" s="201">
        <v>41</v>
      </c>
      <c r="E80" s="203" t="s">
        <v>33</v>
      </c>
      <c r="H80" s="66"/>
    </row>
    <row r="81" spans="2:19" ht="18.5" x14ac:dyDescent="0.45">
      <c r="B81" s="202" t="s">
        <v>212</v>
      </c>
      <c r="C81" t="s">
        <v>213</v>
      </c>
      <c r="D81" s="201"/>
      <c r="E81" s="203" t="s">
        <v>33</v>
      </c>
      <c r="Q81" s="624"/>
      <c r="R81" s="624"/>
      <c r="S81" s="129"/>
    </row>
    <row r="82" spans="2:19" ht="18.5" x14ac:dyDescent="0.45">
      <c r="B82" s="202" t="s">
        <v>214</v>
      </c>
      <c r="C82" t="s">
        <v>215</v>
      </c>
      <c r="D82" s="201">
        <v>42</v>
      </c>
      <c r="E82" s="203" t="s">
        <v>33</v>
      </c>
      <c r="H82" s="624"/>
      <c r="I82" s="624"/>
      <c r="J82" s="129"/>
      <c r="Q82" s="18"/>
      <c r="R82" s="18"/>
      <c r="S82" s="18"/>
    </row>
    <row r="83" spans="2:19" ht="18.5" x14ac:dyDescent="0.45">
      <c r="B83" s="202" t="s">
        <v>216</v>
      </c>
      <c r="C83" t="s">
        <v>217</v>
      </c>
      <c r="D83" s="201">
        <v>43</v>
      </c>
      <c r="E83" s="203" t="s">
        <v>33</v>
      </c>
      <c r="H83" s="624"/>
      <c r="I83" s="624"/>
      <c r="J83" s="129"/>
      <c r="Q83" s="624"/>
      <c r="R83" s="624"/>
      <c r="S83" s="129"/>
    </row>
    <row r="84" spans="2:19" x14ac:dyDescent="0.35">
      <c r="B84" s="202" t="s">
        <v>218</v>
      </c>
      <c r="C84" t="s">
        <v>219</v>
      </c>
      <c r="D84" s="201">
        <v>44</v>
      </c>
      <c r="E84" s="203" t="s">
        <v>33</v>
      </c>
    </row>
    <row r="85" spans="2:19" ht="18.5" x14ac:dyDescent="0.45">
      <c r="B85" s="202" t="s">
        <v>220</v>
      </c>
      <c r="C85" t="s">
        <v>221</v>
      </c>
      <c r="D85" s="201">
        <v>45</v>
      </c>
      <c r="E85" s="203" t="s">
        <v>33</v>
      </c>
      <c r="F85" s="156"/>
      <c r="H85" s="624"/>
      <c r="I85" s="624"/>
      <c r="J85" s="129"/>
    </row>
    <row r="86" spans="2:19" ht="18.5" x14ac:dyDescent="0.45">
      <c r="B86" s="202" t="s">
        <v>222</v>
      </c>
      <c r="C86" t="s">
        <v>223</v>
      </c>
      <c r="D86" s="201">
        <v>48</v>
      </c>
      <c r="E86" s="203" t="s">
        <v>33</v>
      </c>
      <c r="F86" s="156"/>
      <c r="H86" s="624"/>
      <c r="I86" s="624"/>
      <c r="J86" s="129"/>
    </row>
    <row r="87" spans="2:19" x14ac:dyDescent="0.35">
      <c r="B87" s="202" t="s">
        <v>224</v>
      </c>
      <c r="C87" t="s">
        <v>225</v>
      </c>
      <c r="D87" s="201">
        <v>49</v>
      </c>
      <c r="E87" s="203" t="s">
        <v>61</v>
      </c>
      <c r="F87" s="156"/>
      <c r="H87" s="66"/>
    </row>
    <row r="88" spans="2:19" x14ac:dyDescent="0.35">
      <c r="B88" s="204" t="s">
        <v>226</v>
      </c>
      <c r="C88" s="205" t="s">
        <v>227</v>
      </c>
      <c r="D88" s="210"/>
      <c r="E88" s="207"/>
      <c r="F88" s="156"/>
      <c r="H88" s="201"/>
    </row>
    <row r="89" spans="2:19" x14ac:dyDescent="0.35">
      <c r="B89" s="202" t="s">
        <v>228</v>
      </c>
      <c r="C89" t="s">
        <v>229</v>
      </c>
      <c r="D89" s="66" t="s">
        <v>230</v>
      </c>
      <c r="E89" s="203" t="s">
        <v>33</v>
      </c>
      <c r="F89" s="156"/>
      <c r="H89" s="201"/>
    </row>
    <row r="90" spans="2:19" x14ac:dyDescent="0.35">
      <c r="B90" s="202" t="s">
        <v>231</v>
      </c>
      <c r="C90" t="s">
        <v>232</v>
      </c>
      <c r="D90" s="66" t="s">
        <v>233</v>
      </c>
      <c r="E90" s="203" t="s">
        <v>33</v>
      </c>
      <c r="F90" s="156"/>
      <c r="H90" s="201"/>
    </row>
    <row r="91" spans="2:19" x14ac:dyDescent="0.35">
      <c r="B91" s="202" t="s">
        <v>234</v>
      </c>
      <c r="C91" t="s">
        <v>235</v>
      </c>
      <c r="D91" s="66" t="s">
        <v>236</v>
      </c>
      <c r="E91" s="203" t="s">
        <v>33</v>
      </c>
      <c r="F91" s="156"/>
      <c r="H91" s="201"/>
    </row>
    <row r="92" spans="2:19" x14ac:dyDescent="0.35">
      <c r="B92" s="202"/>
      <c r="D92" s="66"/>
      <c r="E92" s="203"/>
      <c r="F92" s="156"/>
      <c r="H92" s="201"/>
    </row>
    <row r="93" spans="2:19" ht="18.5" x14ac:dyDescent="0.45">
      <c r="B93" s="214">
        <v>2</v>
      </c>
      <c r="C93" s="215" t="s">
        <v>237</v>
      </c>
      <c r="D93" s="216"/>
      <c r="E93" s="217"/>
      <c r="F93" s="218"/>
      <c r="G93" s="18"/>
      <c r="H93" s="201"/>
    </row>
    <row r="94" spans="2:19" ht="18.5" x14ac:dyDescent="0.45">
      <c r="B94" s="219" t="s">
        <v>238</v>
      </c>
      <c r="C94" s="215" t="s">
        <v>239</v>
      </c>
      <c r="D94" s="220">
        <v>3</v>
      </c>
      <c r="E94" s="217"/>
      <c r="F94" s="218"/>
      <c r="G94" s="18"/>
      <c r="H94" s="201"/>
    </row>
    <row r="95" spans="2:19" x14ac:dyDescent="0.35">
      <c r="B95" s="204" t="s">
        <v>240</v>
      </c>
      <c r="C95" s="205" t="s">
        <v>241</v>
      </c>
      <c r="D95" s="210"/>
      <c r="E95" s="207"/>
      <c r="F95" s="156"/>
      <c r="H95" s="201"/>
    </row>
    <row r="96" spans="2:19" x14ac:dyDescent="0.35">
      <c r="B96" s="202" t="s">
        <v>242</v>
      </c>
      <c r="C96" t="s">
        <v>243</v>
      </c>
      <c r="D96" s="201">
        <v>51</v>
      </c>
      <c r="E96" s="203" t="s">
        <v>61</v>
      </c>
      <c r="F96" s="156"/>
      <c r="H96" s="201"/>
    </row>
    <row r="97" spans="2:10" x14ac:dyDescent="0.35">
      <c r="B97" s="202" t="s">
        <v>244</v>
      </c>
      <c r="C97" t="s">
        <v>245</v>
      </c>
      <c r="D97" s="201">
        <v>52</v>
      </c>
      <c r="E97" s="203" t="s">
        <v>61</v>
      </c>
      <c r="F97" s="156"/>
      <c r="H97" s="201"/>
    </row>
    <row r="98" spans="2:10" x14ac:dyDescent="0.35">
      <c r="B98" s="202" t="s">
        <v>246</v>
      </c>
      <c r="C98" t="s">
        <v>247</v>
      </c>
      <c r="D98" s="201">
        <v>53</v>
      </c>
      <c r="E98" s="203" t="s">
        <v>61</v>
      </c>
      <c r="F98" s="156"/>
      <c r="H98" s="66"/>
    </row>
    <row r="99" spans="2:10" x14ac:dyDescent="0.35">
      <c r="B99" s="202" t="s">
        <v>248</v>
      </c>
      <c r="C99" t="s">
        <v>249</v>
      </c>
      <c r="D99" s="201">
        <v>54</v>
      </c>
      <c r="E99" s="203" t="s">
        <v>61</v>
      </c>
      <c r="F99" s="156"/>
      <c r="H99" s="66"/>
    </row>
    <row r="100" spans="2:10" x14ac:dyDescent="0.35">
      <c r="B100" s="204" t="s">
        <v>250</v>
      </c>
      <c r="C100" s="205" t="s">
        <v>251</v>
      </c>
      <c r="D100" s="206"/>
      <c r="E100" s="207"/>
      <c r="F100" s="156"/>
      <c r="H100" s="66"/>
    </row>
    <row r="101" spans="2:10" x14ac:dyDescent="0.35">
      <c r="B101" s="202" t="s">
        <v>252</v>
      </c>
      <c r="C101" t="s">
        <v>253</v>
      </c>
      <c r="D101" s="201">
        <v>55</v>
      </c>
      <c r="E101" s="203" t="s">
        <v>61</v>
      </c>
      <c r="F101" s="156"/>
      <c r="H101" s="66"/>
    </row>
    <row r="102" spans="2:10" x14ac:dyDescent="0.35">
      <c r="B102" s="202" t="s">
        <v>254</v>
      </c>
      <c r="C102" t="s">
        <v>255</v>
      </c>
      <c r="D102" s="201">
        <v>56</v>
      </c>
      <c r="E102" s="203" t="s">
        <v>61</v>
      </c>
      <c r="F102" s="156"/>
      <c r="H102" s="66"/>
    </row>
    <row r="103" spans="2:10" x14ac:dyDescent="0.35">
      <c r="B103" s="202" t="s">
        <v>256</v>
      </c>
      <c r="C103" t="s">
        <v>257</v>
      </c>
      <c r="D103" s="201">
        <v>57</v>
      </c>
      <c r="E103" s="203" t="s">
        <v>61</v>
      </c>
      <c r="F103" s="156"/>
      <c r="H103" s="66"/>
      <c r="I103" s="208"/>
      <c r="J103" s="208"/>
    </row>
    <row r="104" spans="2:10" x14ac:dyDescent="0.35">
      <c r="B104" s="202" t="s">
        <v>258</v>
      </c>
      <c r="C104" t="s">
        <v>259</v>
      </c>
      <c r="D104" s="201">
        <v>58</v>
      </c>
      <c r="E104" s="203" t="s">
        <v>61</v>
      </c>
      <c r="F104" s="156"/>
      <c r="H104" s="66"/>
    </row>
    <row r="105" spans="2:10" x14ac:dyDescent="0.35">
      <c r="B105" s="204" t="s">
        <v>260</v>
      </c>
      <c r="C105" s="205" t="s">
        <v>261</v>
      </c>
      <c r="D105" s="210"/>
      <c r="E105" s="207"/>
      <c r="F105" s="156"/>
      <c r="H105" s="201"/>
    </row>
    <row r="106" spans="2:10" x14ac:dyDescent="0.35">
      <c r="B106" s="202" t="s">
        <v>262</v>
      </c>
      <c r="C106" t="s">
        <v>263</v>
      </c>
      <c r="D106" s="66" t="s">
        <v>264</v>
      </c>
      <c r="E106" s="203" t="s">
        <v>61</v>
      </c>
      <c r="F106" s="156"/>
    </row>
    <row r="107" spans="2:10" ht="18.5" x14ac:dyDescent="0.45">
      <c r="B107" s="202" t="s">
        <v>265</v>
      </c>
      <c r="C107" t="s">
        <v>266</v>
      </c>
      <c r="D107" s="66" t="s">
        <v>267</v>
      </c>
      <c r="E107" s="203" t="s">
        <v>61</v>
      </c>
      <c r="F107" s="156"/>
      <c r="H107" s="624"/>
      <c r="I107" s="624"/>
      <c r="J107" s="129"/>
    </row>
    <row r="108" spans="2:10" ht="18.5" x14ac:dyDescent="0.45">
      <c r="B108" s="202" t="s">
        <v>268</v>
      </c>
      <c r="C108" t="s">
        <v>269</v>
      </c>
      <c r="D108" s="66" t="s">
        <v>270</v>
      </c>
      <c r="E108" s="203" t="s">
        <v>61</v>
      </c>
      <c r="F108" s="156"/>
      <c r="H108" s="209"/>
      <c r="I108" s="18"/>
      <c r="J108" s="18"/>
    </row>
    <row r="109" spans="2:10" ht="18.5" x14ac:dyDescent="0.45">
      <c r="B109" s="202" t="s">
        <v>271</v>
      </c>
      <c r="C109" t="s">
        <v>272</v>
      </c>
      <c r="D109" s="66" t="s">
        <v>273</v>
      </c>
      <c r="E109" s="203" t="s">
        <v>61</v>
      </c>
      <c r="F109" s="156"/>
      <c r="H109" s="624"/>
      <c r="I109" s="624"/>
      <c r="J109" s="129"/>
    </row>
    <row r="110" spans="2:10" x14ac:dyDescent="0.35">
      <c r="B110" s="202" t="s">
        <v>274</v>
      </c>
      <c r="C110" t="s">
        <v>275</v>
      </c>
      <c r="D110" s="66" t="s">
        <v>276</v>
      </c>
      <c r="E110" s="203" t="s">
        <v>61</v>
      </c>
      <c r="F110" s="156"/>
      <c r="H110" s="201"/>
    </row>
    <row r="111" spans="2:10" x14ac:dyDescent="0.35">
      <c r="B111" s="202" t="s">
        <v>277</v>
      </c>
      <c r="C111" t="s">
        <v>278</v>
      </c>
      <c r="D111" s="66"/>
      <c r="E111" s="203"/>
      <c r="F111" s="156"/>
      <c r="H111" s="66"/>
    </row>
    <row r="112" spans="2:10" x14ac:dyDescent="0.35">
      <c r="B112" s="204" t="s">
        <v>279</v>
      </c>
      <c r="C112" s="205" t="s">
        <v>280</v>
      </c>
      <c r="D112" s="206">
        <v>88</v>
      </c>
      <c r="E112" s="207" t="s">
        <v>61</v>
      </c>
      <c r="F112" s="156"/>
      <c r="H112" s="66"/>
    </row>
    <row r="113" spans="2:11" x14ac:dyDescent="0.35">
      <c r="B113" s="202"/>
      <c r="D113" s="66"/>
      <c r="E113" s="203"/>
      <c r="F113" s="156"/>
      <c r="H113" s="66"/>
    </row>
    <row r="114" spans="2:11" ht="18.5" x14ac:dyDescent="0.45">
      <c r="B114" s="219" t="s">
        <v>281</v>
      </c>
      <c r="C114" s="215" t="s">
        <v>282</v>
      </c>
      <c r="D114" s="216"/>
      <c r="E114" s="217"/>
      <c r="F114" s="218"/>
      <c r="G114" s="18"/>
      <c r="H114" s="66"/>
    </row>
    <row r="115" spans="2:11" x14ac:dyDescent="0.35">
      <c r="B115" s="204" t="s">
        <v>283</v>
      </c>
      <c r="C115" s="205" t="s">
        <v>284</v>
      </c>
      <c r="D115" s="206">
        <v>33</v>
      </c>
      <c r="E115" s="207" t="s">
        <v>61</v>
      </c>
      <c r="F115" s="156"/>
      <c r="H115" s="66"/>
    </row>
    <row r="116" spans="2:11" x14ac:dyDescent="0.35">
      <c r="B116" s="202" t="s">
        <v>285</v>
      </c>
      <c r="C116" t="s">
        <v>286</v>
      </c>
      <c r="D116" s="66" t="s">
        <v>287</v>
      </c>
      <c r="E116" s="203" t="s">
        <v>61</v>
      </c>
      <c r="F116" s="156"/>
      <c r="H116" s="66"/>
    </row>
    <row r="117" spans="2:11" x14ac:dyDescent="0.35">
      <c r="B117" s="202" t="s">
        <v>288</v>
      </c>
      <c r="C117" t="s">
        <v>289</v>
      </c>
      <c r="D117" s="66" t="s">
        <v>290</v>
      </c>
      <c r="E117" s="203" t="s">
        <v>61</v>
      </c>
      <c r="F117" s="156"/>
      <c r="H117" s="66"/>
    </row>
    <row r="118" spans="2:11" x14ac:dyDescent="0.35">
      <c r="B118" s="202" t="s">
        <v>291</v>
      </c>
      <c r="C118" t="s">
        <v>292</v>
      </c>
      <c r="D118" s="66" t="s">
        <v>293</v>
      </c>
      <c r="E118" s="203" t="s">
        <v>61</v>
      </c>
      <c r="F118" s="156"/>
      <c r="H118" s="66"/>
    </row>
    <row r="119" spans="2:11" x14ac:dyDescent="0.35">
      <c r="B119" s="202" t="s">
        <v>294</v>
      </c>
      <c r="C119" t="s">
        <v>295</v>
      </c>
      <c r="D119" s="66" t="s">
        <v>296</v>
      </c>
      <c r="E119" s="203" t="s">
        <v>61</v>
      </c>
      <c r="F119" s="156"/>
      <c r="H119" s="66"/>
    </row>
    <row r="120" spans="2:11" x14ac:dyDescent="0.35">
      <c r="B120" s="204" t="s">
        <v>297</v>
      </c>
      <c r="C120" s="205" t="s">
        <v>298</v>
      </c>
      <c r="D120" s="210"/>
      <c r="E120" s="207" t="s">
        <v>61</v>
      </c>
      <c r="F120" s="156"/>
      <c r="H120" s="66"/>
    </row>
    <row r="121" spans="2:11" x14ac:dyDescent="0.35">
      <c r="B121" s="204" t="s">
        <v>299</v>
      </c>
      <c r="C121" s="205" t="s">
        <v>300</v>
      </c>
      <c r="D121" s="210" t="s">
        <v>301</v>
      </c>
      <c r="E121" s="207" t="s">
        <v>61</v>
      </c>
      <c r="F121" s="156"/>
      <c r="H121" s="66"/>
    </row>
    <row r="122" spans="2:11" x14ac:dyDescent="0.35">
      <c r="B122" s="204" t="s">
        <v>302</v>
      </c>
      <c r="C122" s="205" t="s">
        <v>303</v>
      </c>
      <c r="D122" s="210"/>
      <c r="E122" s="207"/>
      <c r="F122" s="156"/>
      <c r="H122" s="66"/>
    </row>
    <row r="123" spans="2:11" x14ac:dyDescent="0.35">
      <c r="B123" s="202" t="s">
        <v>304</v>
      </c>
      <c r="C123" t="s">
        <v>305</v>
      </c>
      <c r="D123" s="66" t="s">
        <v>306</v>
      </c>
      <c r="E123" s="203" t="s">
        <v>61</v>
      </c>
      <c r="F123" s="156"/>
      <c r="H123" s="66"/>
      <c r="I123" s="66"/>
      <c r="J123" s="66"/>
    </row>
    <row r="124" spans="2:11" ht="18.5" x14ac:dyDescent="0.45">
      <c r="B124" s="202" t="s">
        <v>307</v>
      </c>
      <c r="C124" t="s">
        <v>308</v>
      </c>
      <c r="D124" s="66" t="s">
        <v>309</v>
      </c>
      <c r="E124" s="203" t="s">
        <v>61</v>
      </c>
      <c r="F124" s="156"/>
      <c r="H124" s="624"/>
      <c r="I124" s="624"/>
      <c r="J124" s="129"/>
      <c r="K124" s="66"/>
    </row>
    <row r="125" spans="2:11" ht="18.5" x14ac:dyDescent="0.45">
      <c r="B125" s="202" t="s">
        <v>310</v>
      </c>
      <c r="C125" t="s">
        <v>311</v>
      </c>
      <c r="D125" s="66" t="s">
        <v>312</v>
      </c>
      <c r="E125" s="203" t="s">
        <v>61</v>
      </c>
      <c r="F125" s="156"/>
      <c r="H125" s="18"/>
      <c r="I125" s="18"/>
      <c r="J125" s="18"/>
    </row>
    <row r="126" spans="2:11" ht="18.5" x14ac:dyDescent="0.45">
      <c r="B126" s="202" t="s">
        <v>313</v>
      </c>
      <c r="C126" t="s">
        <v>314</v>
      </c>
      <c r="D126" s="66" t="s">
        <v>315</v>
      </c>
      <c r="E126" s="203" t="s">
        <v>61</v>
      </c>
      <c r="F126" s="156"/>
      <c r="H126" s="624"/>
      <c r="I126" s="624"/>
      <c r="J126" s="129"/>
    </row>
    <row r="127" spans="2:11" x14ac:dyDescent="0.35">
      <c r="B127" s="204" t="s">
        <v>316</v>
      </c>
      <c r="C127" s="205" t="s">
        <v>317</v>
      </c>
      <c r="D127" s="210"/>
      <c r="E127" s="207" t="s">
        <v>61</v>
      </c>
      <c r="F127" s="156"/>
      <c r="H127" s="66"/>
    </row>
    <row r="128" spans="2:11" x14ac:dyDescent="0.35">
      <c r="B128" s="202"/>
      <c r="D128" s="66"/>
      <c r="E128" s="203"/>
      <c r="F128" s="156"/>
      <c r="H128" s="66"/>
    </row>
    <row r="129" spans="2:8" ht="18.5" x14ac:dyDescent="0.45">
      <c r="B129" s="219" t="s">
        <v>318</v>
      </c>
      <c r="C129" s="215" t="s">
        <v>319</v>
      </c>
      <c r="D129" s="216"/>
      <c r="E129" s="217"/>
      <c r="F129" s="218"/>
      <c r="G129" s="18"/>
      <c r="H129" s="66"/>
    </row>
    <row r="130" spans="2:8" x14ac:dyDescent="0.35">
      <c r="B130" s="204" t="s">
        <v>320</v>
      </c>
      <c r="C130" s="205" t="s">
        <v>321</v>
      </c>
      <c r="D130" s="210"/>
      <c r="E130" s="207"/>
      <c r="F130" s="156"/>
      <c r="H130" s="66"/>
    </row>
    <row r="131" spans="2:8" x14ac:dyDescent="0.35">
      <c r="B131" s="202" t="s">
        <v>322</v>
      </c>
      <c r="C131" t="s">
        <v>323</v>
      </c>
      <c r="D131" s="66" t="s">
        <v>324</v>
      </c>
      <c r="E131" s="203" t="s">
        <v>61</v>
      </c>
      <c r="F131" s="156"/>
      <c r="H131" s="66"/>
    </row>
    <row r="132" spans="2:8" x14ac:dyDescent="0.35">
      <c r="B132" s="202" t="s">
        <v>325</v>
      </c>
      <c r="C132" t="s">
        <v>326</v>
      </c>
      <c r="D132" s="66" t="s">
        <v>327</v>
      </c>
      <c r="E132" s="203" t="s">
        <v>61</v>
      </c>
      <c r="F132" s="156"/>
      <c r="H132" s="66"/>
    </row>
    <row r="133" spans="2:8" x14ac:dyDescent="0.35">
      <c r="B133" s="202" t="s">
        <v>328</v>
      </c>
      <c r="C133" t="s">
        <v>329</v>
      </c>
      <c r="D133" s="66" t="s">
        <v>330</v>
      </c>
      <c r="E133" s="203" t="s">
        <v>61</v>
      </c>
      <c r="F133" s="156"/>
      <c r="H133" s="66"/>
    </row>
    <row r="134" spans="2:8" x14ac:dyDescent="0.35">
      <c r="B134" s="202" t="s">
        <v>331</v>
      </c>
      <c r="C134" t="s">
        <v>332</v>
      </c>
      <c r="D134" s="66" t="s">
        <v>333</v>
      </c>
      <c r="E134" s="203" t="s">
        <v>61</v>
      </c>
      <c r="F134" s="156"/>
      <c r="H134" s="66"/>
    </row>
    <row r="135" spans="2:8" x14ac:dyDescent="0.35">
      <c r="B135" s="202" t="s">
        <v>334</v>
      </c>
      <c r="C135" t="s">
        <v>335</v>
      </c>
      <c r="D135" s="66"/>
      <c r="E135" s="203"/>
      <c r="F135" s="156"/>
      <c r="H135" s="66"/>
    </row>
    <row r="136" spans="2:8" x14ac:dyDescent="0.35">
      <c r="B136" s="202" t="s">
        <v>336</v>
      </c>
      <c r="C136" t="s">
        <v>337</v>
      </c>
      <c r="D136" s="66" t="s">
        <v>338</v>
      </c>
      <c r="E136" s="203" t="s">
        <v>61</v>
      </c>
      <c r="F136" s="156"/>
      <c r="H136" s="66"/>
    </row>
    <row r="137" spans="2:8" x14ac:dyDescent="0.35">
      <c r="B137" s="202" t="s">
        <v>339</v>
      </c>
      <c r="C137" t="s">
        <v>340</v>
      </c>
      <c r="D137" s="66" t="s">
        <v>341</v>
      </c>
      <c r="E137" s="203" t="s">
        <v>61</v>
      </c>
      <c r="F137" s="156"/>
      <c r="H137" s="66"/>
    </row>
    <row r="138" spans="2:8" x14ac:dyDescent="0.35">
      <c r="B138" s="202" t="s">
        <v>342</v>
      </c>
      <c r="C138" t="s">
        <v>343</v>
      </c>
      <c r="D138" s="66" t="s">
        <v>344</v>
      </c>
      <c r="E138" s="203" t="s">
        <v>61</v>
      </c>
      <c r="F138" s="156"/>
      <c r="H138" s="66"/>
    </row>
    <row r="139" spans="2:8" x14ac:dyDescent="0.35">
      <c r="B139" s="202" t="s">
        <v>345</v>
      </c>
      <c r="C139" t="s">
        <v>346</v>
      </c>
      <c r="D139" s="66" t="s">
        <v>347</v>
      </c>
      <c r="E139" s="203" t="s">
        <v>61</v>
      </c>
      <c r="F139" s="156"/>
      <c r="H139" s="66"/>
    </row>
    <row r="140" spans="2:8" x14ac:dyDescent="0.35">
      <c r="B140" s="202" t="s">
        <v>348</v>
      </c>
      <c r="C140" t="s">
        <v>349</v>
      </c>
      <c r="D140" s="66" t="s">
        <v>350</v>
      </c>
      <c r="E140" s="203" t="s">
        <v>61</v>
      </c>
      <c r="F140" s="156"/>
      <c r="H140" s="66"/>
    </row>
    <row r="141" spans="2:8" x14ac:dyDescent="0.35">
      <c r="B141" s="202" t="s">
        <v>351</v>
      </c>
      <c r="C141" t="s">
        <v>352</v>
      </c>
      <c r="D141" s="66" t="s">
        <v>353</v>
      </c>
      <c r="E141" s="203" t="s">
        <v>61</v>
      </c>
      <c r="F141" s="156"/>
      <c r="H141" s="66"/>
    </row>
    <row r="142" spans="2:8" x14ac:dyDescent="0.35">
      <c r="B142" s="202" t="s">
        <v>354</v>
      </c>
      <c r="C142" t="s">
        <v>355</v>
      </c>
      <c r="D142" s="66" t="s">
        <v>356</v>
      </c>
      <c r="E142" s="203" t="s">
        <v>33</v>
      </c>
      <c r="F142" s="156"/>
      <c r="H142" s="66"/>
    </row>
    <row r="143" spans="2:8" x14ac:dyDescent="0.35">
      <c r="B143" s="202" t="s">
        <v>357</v>
      </c>
      <c r="C143" t="s">
        <v>358</v>
      </c>
      <c r="D143" s="66" t="s">
        <v>359</v>
      </c>
      <c r="E143" s="203" t="s">
        <v>61</v>
      </c>
      <c r="F143" s="156"/>
      <c r="H143" s="66"/>
    </row>
    <row r="144" spans="2:8" x14ac:dyDescent="0.35">
      <c r="B144" s="204" t="s">
        <v>334</v>
      </c>
      <c r="C144" s="205" t="s">
        <v>360</v>
      </c>
      <c r="D144" s="210"/>
      <c r="E144" s="207"/>
      <c r="F144" s="156"/>
      <c r="H144" s="201"/>
    </row>
    <row r="145" spans="2:8" x14ac:dyDescent="0.35">
      <c r="B145" s="202" t="s">
        <v>336</v>
      </c>
      <c r="C145" t="s">
        <v>361</v>
      </c>
      <c r="D145" s="66" t="s">
        <v>362</v>
      </c>
      <c r="E145" s="203" t="s">
        <v>61</v>
      </c>
      <c r="F145" s="156"/>
      <c r="H145" s="66"/>
    </row>
    <row r="146" spans="2:8" x14ac:dyDescent="0.35">
      <c r="B146" s="202" t="s">
        <v>339</v>
      </c>
      <c r="C146" t="s">
        <v>363</v>
      </c>
      <c r="D146" s="66" t="s">
        <v>364</v>
      </c>
      <c r="E146" s="203" t="s">
        <v>61</v>
      </c>
      <c r="F146" s="156"/>
      <c r="H146" s="66"/>
    </row>
    <row r="147" spans="2:8" x14ac:dyDescent="0.35">
      <c r="B147" s="204" t="s">
        <v>365</v>
      </c>
      <c r="C147" s="205" t="s">
        <v>366</v>
      </c>
      <c r="D147" s="206">
        <v>36</v>
      </c>
      <c r="E147" s="207" t="s">
        <v>61</v>
      </c>
      <c r="F147" s="156"/>
      <c r="H147" s="66"/>
    </row>
    <row r="148" spans="2:8" x14ac:dyDescent="0.35">
      <c r="B148" s="202" t="s">
        <v>367</v>
      </c>
      <c r="C148" t="s">
        <v>368</v>
      </c>
      <c r="D148" s="66" t="s">
        <v>369</v>
      </c>
      <c r="E148" s="203"/>
      <c r="F148" s="156"/>
      <c r="H148" s="66"/>
    </row>
    <row r="149" spans="2:8" x14ac:dyDescent="0.35">
      <c r="B149" s="202" t="s">
        <v>370</v>
      </c>
      <c r="C149" t="s">
        <v>371</v>
      </c>
      <c r="D149" s="66" t="s">
        <v>372</v>
      </c>
      <c r="E149" s="203" t="s">
        <v>61</v>
      </c>
      <c r="F149" s="156"/>
      <c r="H149" s="66"/>
    </row>
    <row r="150" spans="2:8" x14ac:dyDescent="0.35">
      <c r="B150" s="202" t="s">
        <v>373</v>
      </c>
      <c r="C150" t="s">
        <v>374</v>
      </c>
      <c r="D150" s="66" t="s">
        <v>375</v>
      </c>
      <c r="E150" s="203" t="s">
        <v>61</v>
      </c>
      <c r="F150" s="156"/>
      <c r="H150" s="66"/>
    </row>
    <row r="151" spans="2:8" x14ac:dyDescent="0.35">
      <c r="B151" s="202" t="s">
        <v>376</v>
      </c>
      <c r="C151" t="s">
        <v>377</v>
      </c>
      <c r="D151" s="66" t="s">
        <v>378</v>
      </c>
      <c r="E151" s="203" t="s">
        <v>61</v>
      </c>
      <c r="F151" s="156"/>
      <c r="H151" s="66"/>
    </row>
    <row r="152" spans="2:8" x14ac:dyDescent="0.35">
      <c r="B152" s="204" t="s">
        <v>379</v>
      </c>
      <c r="C152" s="205" t="s">
        <v>380</v>
      </c>
      <c r="D152" s="210" t="s">
        <v>381</v>
      </c>
      <c r="E152" s="207" t="s">
        <v>61</v>
      </c>
      <c r="F152" s="156"/>
      <c r="H152" s="66"/>
    </row>
    <row r="153" spans="2:8" x14ac:dyDescent="0.35">
      <c r="B153" s="204" t="s">
        <v>382</v>
      </c>
      <c r="C153" s="205" t="s">
        <v>383</v>
      </c>
      <c r="D153" s="210"/>
      <c r="E153" s="207" t="s">
        <v>61</v>
      </c>
      <c r="F153" s="156"/>
      <c r="H153" s="66"/>
    </row>
    <row r="154" spans="2:8" x14ac:dyDescent="0.35">
      <c r="B154" s="204" t="s">
        <v>384</v>
      </c>
      <c r="C154" s="205" t="s">
        <v>385</v>
      </c>
      <c r="D154" s="210"/>
      <c r="E154" s="207"/>
      <c r="F154" s="156"/>
      <c r="H154" s="66"/>
    </row>
    <row r="155" spans="2:8" x14ac:dyDescent="0.35">
      <c r="B155" s="202" t="s">
        <v>386</v>
      </c>
      <c r="C155" t="s">
        <v>286</v>
      </c>
      <c r="D155" s="66" t="s">
        <v>287</v>
      </c>
      <c r="E155" s="203" t="s">
        <v>61</v>
      </c>
      <c r="F155" s="156"/>
      <c r="H155" s="66"/>
    </row>
    <row r="156" spans="2:8" x14ac:dyDescent="0.35">
      <c r="B156" s="202" t="s">
        <v>387</v>
      </c>
      <c r="C156" t="s">
        <v>289</v>
      </c>
      <c r="D156" s="66" t="s">
        <v>290</v>
      </c>
      <c r="E156" s="203" t="s">
        <v>61</v>
      </c>
      <c r="F156" s="156"/>
      <c r="H156" s="66"/>
    </row>
    <row r="157" spans="2:8" x14ac:dyDescent="0.35">
      <c r="B157" s="202" t="s">
        <v>388</v>
      </c>
      <c r="C157" t="s">
        <v>292</v>
      </c>
      <c r="D157" s="66" t="s">
        <v>293</v>
      </c>
      <c r="E157" s="203" t="s">
        <v>61</v>
      </c>
      <c r="F157" s="156"/>
      <c r="H157" s="66"/>
    </row>
    <row r="158" spans="2:8" x14ac:dyDescent="0.35">
      <c r="B158" s="202" t="s">
        <v>389</v>
      </c>
      <c r="C158" t="s">
        <v>295</v>
      </c>
      <c r="D158" s="66" t="s">
        <v>296</v>
      </c>
      <c r="E158" s="203" t="s">
        <v>61</v>
      </c>
      <c r="F158" s="156"/>
      <c r="H158" s="66"/>
    </row>
    <row r="159" spans="2:8" x14ac:dyDescent="0.35">
      <c r="B159" s="204" t="s">
        <v>390</v>
      </c>
      <c r="C159" s="205" t="s">
        <v>391</v>
      </c>
      <c r="D159" s="210"/>
      <c r="E159" s="207" t="s">
        <v>61</v>
      </c>
      <c r="F159" s="156"/>
      <c r="H159" s="66"/>
    </row>
    <row r="160" spans="2:8" x14ac:dyDescent="0.35">
      <c r="B160" s="204" t="s">
        <v>392</v>
      </c>
      <c r="C160" s="205" t="s">
        <v>393</v>
      </c>
      <c r="D160" s="210"/>
      <c r="E160" s="207"/>
      <c r="F160" s="156"/>
      <c r="H160" s="16"/>
    </row>
    <row r="161" spans="2:10" x14ac:dyDescent="0.35">
      <c r="B161" s="202" t="s">
        <v>394</v>
      </c>
      <c r="C161" t="s">
        <v>395</v>
      </c>
      <c r="D161" s="66" t="s">
        <v>396</v>
      </c>
      <c r="E161" s="203" t="s">
        <v>61</v>
      </c>
      <c r="F161" s="156"/>
    </row>
    <row r="162" spans="2:10" ht="18.5" x14ac:dyDescent="0.45">
      <c r="B162" s="202" t="s">
        <v>397</v>
      </c>
      <c r="C162" t="s">
        <v>398</v>
      </c>
      <c r="D162" s="66" t="s">
        <v>399</v>
      </c>
      <c r="E162" s="203" t="s">
        <v>61</v>
      </c>
      <c r="F162" s="156"/>
      <c r="H162" s="624"/>
      <c r="I162" s="624"/>
      <c r="J162" s="129"/>
    </row>
    <row r="163" spans="2:10" ht="18.5" x14ac:dyDescent="0.45">
      <c r="B163" s="202" t="s">
        <v>400</v>
      </c>
      <c r="C163" t="s">
        <v>401</v>
      </c>
      <c r="D163" s="66" t="s">
        <v>402</v>
      </c>
      <c r="E163" s="203" t="s">
        <v>61</v>
      </c>
      <c r="F163" s="156"/>
      <c r="H163" s="129"/>
      <c r="I163" s="129"/>
      <c r="J163" s="129"/>
    </row>
    <row r="164" spans="2:10" ht="18.5" x14ac:dyDescent="0.45">
      <c r="B164" s="202" t="s">
        <v>403</v>
      </c>
      <c r="C164" t="s">
        <v>404</v>
      </c>
      <c r="D164" s="66" t="s">
        <v>405</v>
      </c>
      <c r="E164" s="203" t="s">
        <v>61</v>
      </c>
      <c r="F164" s="156"/>
      <c r="H164" s="129"/>
      <c r="I164" s="129"/>
      <c r="J164" s="129"/>
    </row>
    <row r="165" spans="2:10" ht="18.5" x14ac:dyDescent="0.45">
      <c r="B165" s="202" t="s">
        <v>406</v>
      </c>
      <c r="C165" t="s">
        <v>407</v>
      </c>
      <c r="D165" s="66" t="s">
        <v>408</v>
      </c>
      <c r="E165" s="203" t="s">
        <v>61</v>
      </c>
      <c r="F165" s="156"/>
      <c r="H165" s="129"/>
      <c r="I165" s="129"/>
      <c r="J165" s="129"/>
    </row>
    <row r="166" spans="2:10" ht="18.5" x14ac:dyDescent="0.45">
      <c r="B166" s="202" t="s">
        <v>409</v>
      </c>
      <c r="C166" t="s">
        <v>410</v>
      </c>
      <c r="D166" s="66" t="s">
        <v>411</v>
      </c>
      <c r="E166" s="203" t="s">
        <v>61</v>
      </c>
      <c r="F166" s="156"/>
      <c r="H166" s="129"/>
      <c r="I166" s="129"/>
      <c r="J166" s="129"/>
    </row>
    <row r="167" spans="2:10" ht="18.5" x14ac:dyDescent="0.45">
      <c r="B167" s="202" t="s">
        <v>412</v>
      </c>
      <c r="C167" t="s">
        <v>413</v>
      </c>
      <c r="D167" s="66" t="s">
        <v>414</v>
      </c>
      <c r="E167" s="203" t="s">
        <v>61</v>
      </c>
      <c r="F167" s="156"/>
      <c r="H167" s="129"/>
      <c r="I167" s="129"/>
      <c r="J167" s="129"/>
    </row>
    <row r="168" spans="2:10" ht="18.5" x14ac:dyDescent="0.45">
      <c r="B168" s="202" t="s">
        <v>415</v>
      </c>
      <c r="C168" t="s">
        <v>416</v>
      </c>
      <c r="D168" s="66" t="s">
        <v>236</v>
      </c>
      <c r="E168" s="203" t="s">
        <v>61</v>
      </c>
      <c r="F168" s="156"/>
      <c r="H168" s="129"/>
      <c r="I168" s="129"/>
      <c r="J168" s="129"/>
    </row>
    <row r="169" spans="2:10" ht="18.5" x14ac:dyDescent="0.45">
      <c r="D169" s="66"/>
      <c r="F169" s="156"/>
      <c r="H169" s="129"/>
      <c r="I169" s="129"/>
      <c r="J169" s="129"/>
    </row>
    <row r="170" spans="2:10" ht="19" thickBot="1" x14ac:dyDescent="0.5">
      <c r="D170" s="16"/>
      <c r="F170" s="156"/>
      <c r="G170" s="157"/>
      <c r="H170" s="624"/>
      <c r="I170" s="624"/>
      <c r="J170" s="129"/>
    </row>
    <row r="171" spans="2:10" ht="18.5" x14ac:dyDescent="0.45">
      <c r="B171" s="224"/>
      <c r="C171" s="225" t="s">
        <v>417</v>
      </c>
      <c r="D171" s="226"/>
      <c r="E171" s="227"/>
    </row>
    <row r="172" spans="2:10" x14ac:dyDescent="0.35">
      <c r="B172" s="202"/>
      <c r="C172" s="73"/>
      <c r="D172" s="16"/>
      <c r="E172" s="203"/>
    </row>
    <row r="173" spans="2:10" ht="18.5" x14ac:dyDescent="0.45">
      <c r="B173" s="214">
        <v>3</v>
      </c>
      <c r="C173" s="215" t="s">
        <v>418</v>
      </c>
      <c r="D173" s="220">
        <v>6</v>
      </c>
      <c r="E173" s="217"/>
      <c r="F173" s="18"/>
      <c r="G173" s="18"/>
      <c r="H173" s="18"/>
      <c r="I173" s="18"/>
      <c r="J173" s="18"/>
    </row>
    <row r="174" spans="2:10" x14ac:dyDescent="0.35">
      <c r="B174" s="204" t="s">
        <v>419</v>
      </c>
      <c r="C174" s="205" t="s">
        <v>420</v>
      </c>
      <c r="D174" s="206">
        <v>61</v>
      </c>
      <c r="E174" s="207"/>
    </row>
    <row r="175" spans="2:10" x14ac:dyDescent="0.35">
      <c r="B175" s="202" t="s">
        <v>421</v>
      </c>
      <c r="C175" t="s">
        <v>422</v>
      </c>
      <c r="D175" s="66" t="s">
        <v>423</v>
      </c>
      <c r="E175" s="203" t="s">
        <v>61</v>
      </c>
    </row>
    <row r="176" spans="2:10" x14ac:dyDescent="0.35">
      <c r="B176" s="202" t="s">
        <v>424</v>
      </c>
      <c r="C176" t="s">
        <v>425</v>
      </c>
      <c r="D176" s="66" t="s">
        <v>426</v>
      </c>
      <c r="E176" s="203" t="s">
        <v>61</v>
      </c>
    </row>
    <row r="177" spans="2:5" x14ac:dyDescent="0.35">
      <c r="B177" s="202" t="s">
        <v>427</v>
      </c>
      <c r="C177" t="s">
        <v>428</v>
      </c>
      <c r="D177" s="66" t="s">
        <v>429</v>
      </c>
      <c r="E177" s="203" t="s">
        <v>61</v>
      </c>
    </row>
    <row r="178" spans="2:5" x14ac:dyDescent="0.35">
      <c r="B178" s="202" t="s">
        <v>430</v>
      </c>
      <c r="C178" t="s">
        <v>431</v>
      </c>
      <c r="D178" s="66" t="s">
        <v>432</v>
      </c>
      <c r="E178" s="203" t="s">
        <v>61</v>
      </c>
    </row>
    <row r="179" spans="2:5" x14ac:dyDescent="0.35">
      <c r="B179" s="202" t="s">
        <v>433</v>
      </c>
      <c r="C179" t="s">
        <v>434</v>
      </c>
      <c r="D179" s="66" t="s">
        <v>435</v>
      </c>
      <c r="E179" s="203" t="s">
        <v>61</v>
      </c>
    </row>
    <row r="180" spans="2:5" x14ac:dyDescent="0.35">
      <c r="B180" s="202" t="s">
        <v>436</v>
      </c>
      <c r="C180" t="s">
        <v>437</v>
      </c>
      <c r="D180" s="66" t="s">
        <v>438</v>
      </c>
      <c r="E180" s="203" t="s">
        <v>61</v>
      </c>
    </row>
    <row r="181" spans="2:5" x14ac:dyDescent="0.35">
      <c r="B181" s="202" t="s">
        <v>439</v>
      </c>
      <c r="C181" t="s">
        <v>440</v>
      </c>
      <c r="D181" s="66" t="s">
        <v>441</v>
      </c>
      <c r="E181" s="203" t="s">
        <v>61</v>
      </c>
    </row>
    <row r="182" spans="2:5" x14ac:dyDescent="0.35">
      <c r="B182" s="202" t="s">
        <v>442</v>
      </c>
      <c r="C182" t="s">
        <v>443</v>
      </c>
      <c r="D182" s="66" t="s">
        <v>444</v>
      </c>
      <c r="E182" s="203" t="s">
        <v>61</v>
      </c>
    </row>
    <row r="183" spans="2:5" x14ac:dyDescent="0.35">
      <c r="B183" s="204" t="s">
        <v>445</v>
      </c>
      <c r="C183" s="205" t="s">
        <v>446</v>
      </c>
      <c r="D183" s="206">
        <v>62</v>
      </c>
      <c r="E183" s="207" t="s">
        <v>61</v>
      </c>
    </row>
    <row r="184" spans="2:5" x14ac:dyDescent="0.35">
      <c r="B184" s="202" t="s">
        <v>447</v>
      </c>
      <c r="C184" t="s">
        <v>448</v>
      </c>
      <c r="D184" s="66" t="s">
        <v>449</v>
      </c>
      <c r="E184" s="203" t="s">
        <v>61</v>
      </c>
    </row>
    <row r="185" spans="2:5" x14ac:dyDescent="0.35">
      <c r="B185" s="202" t="s">
        <v>450</v>
      </c>
      <c r="C185" t="s">
        <v>451</v>
      </c>
      <c r="D185" s="66" t="s">
        <v>452</v>
      </c>
      <c r="E185" s="203" t="s">
        <v>61</v>
      </c>
    </row>
    <row r="186" spans="2:5" x14ac:dyDescent="0.35">
      <c r="B186" s="202" t="s">
        <v>453</v>
      </c>
      <c r="C186" t="s">
        <v>440</v>
      </c>
      <c r="D186" s="66" t="s">
        <v>454</v>
      </c>
      <c r="E186" s="203" t="s">
        <v>61</v>
      </c>
    </row>
    <row r="187" spans="2:5" x14ac:dyDescent="0.35">
      <c r="B187" s="202" t="s">
        <v>455</v>
      </c>
      <c r="C187" t="s">
        <v>443</v>
      </c>
      <c r="D187" s="66" t="s">
        <v>456</v>
      </c>
      <c r="E187" s="203" t="s">
        <v>61</v>
      </c>
    </row>
    <row r="188" spans="2:5" x14ac:dyDescent="0.35">
      <c r="B188" s="204" t="s">
        <v>457</v>
      </c>
      <c r="C188" s="205" t="s">
        <v>458</v>
      </c>
      <c r="D188" s="206">
        <v>63</v>
      </c>
      <c r="E188" s="207" t="s">
        <v>61</v>
      </c>
    </row>
    <row r="189" spans="2:5" x14ac:dyDescent="0.35">
      <c r="B189" s="202" t="s">
        <v>459</v>
      </c>
      <c r="C189" t="s">
        <v>460</v>
      </c>
      <c r="D189" s="66" t="s">
        <v>461</v>
      </c>
      <c r="E189" s="203" t="s">
        <v>61</v>
      </c>
    </row>
    <row r="190" spans="2:5" x14ac:dyDescent="0.35">
      <c r="B190" s="202" t="s">
        <v>462</v>
      </c>
      <c r="C190" t="s">
        <v>463</v>
      </c>
      <c r="D190" s="66" t="s">
        <v>464</v>
      </c>
      <c r="E190" s="203" t="s">
        <v>61</v>
      </c>
    </row>
    <row r="191" spans="2:5" x14ac:dyDescent="0.35">
      <c r="B191" s="202" t="s">
        <v>465</v>
      </c>
      <c r="C191" t="s">
        <v>466</v>
      </c>
      <c r="D191" s="66" t="s">
        <v>467</v>
      </c>
      <c r="E191" s="203" t="s">
        <v>61</v>
      </c>
    </row>
    <row r="192" spans="2:5" x14ac:dyDescent="0.35">
      <c r="B192" s="202" t="s">
        <v>468</v>
      </c>
      <c r="C192" t="s">
        <v>469</v>
      </c>
      <c r="D192" s="66" t="s">
        <v>470</v>
      </c>
      <c r="E192" s="203" t="s">
        <v>61</v>
      </c>
    </row>
    <row r="193" spans="2:5" x14ac:dyDescent="0.35">
      <c r="B193" s="202" t="s">
        <v>471</v>
      </c>
      <c r="C193" t="s">
        <v>472</v>
      </c>
      <c r="D193" s="66" t="s">
        <v>473</v>
      </c>
      <c r="E193" s="203" t="s">
        <v>61</v>
      </c>
    </row>
    <row r="194" spans="2:5" x14ac:dyDescent="0.35">
      <c r="B194" s="202" t="s">
        <v>474</v>
      </c>
      <c r="C194" t="s">
        <v>475</v>
      </c>
      <c r="D194" s="66" t="s">
        <v>476</v>
      </c>
      <c r="E194" s="203" t="s">
        <v>61</v>
      </c>
    </row>
    <row r="195" spans="2:5" x14ac:dyDescent="0.35">
      <c r="B195" s="202" t="s">
        <v>477</v>
      </c>
      <c r="C195" t="s">
        <v>478</v>
      </c>
      <c r="D195" s="66" t="s">
        <v>479</v>
      </c>
      <c r="E195" s="203" t="s">
        <v>61</v>
      </c>
    </row>
    <row r="196" spans="2:5" x14ac:dyDescent="0.35">
      <c r="B196" s="204" t="s">
        <v>480</v>
      </c>
      <c r="C196" s="205" t="s">
        <v>481</v>
      </c>
      <c r="D196" s="206">
        <v>64</v>
      </c>
      <c r="E196" s="207" t="s">
        <v>61</v>
      </c>
    </row>
    <row r="197" spans="2:5" x14ac:dyDescent="0.35">
      <c r="B197" s="202" t="s">
        <v>482</v>
      </c>
      <c r="C197" t="s">
        <v>483</v>
      </c>
      <c r="D197" s="66" t="s">
        <v>484</v>
      </c>
      <c r="E197" s="203" t="s">
        <v>61</v>
      </c>
    </row>
    <row r="198" spans="2:5" x14ac:dyDescent="0.35">
      <c r="B198" s="202" t="s">
        <v>485</v>
      </c>
      <c r="C198" t="s">
        <v>422</v>
      </c>
      <c r="D198" s="66" t="s">
        <v>486</v>
      </c>
      <c r="E198" s="203" t="s">
        <v>61</v>
      </c>
    </row>
    <row r="199" spans="2:5" x14ac:dyDescent="0.35">
      <c r="B199" s="202" t="s">
        <v>487</v>
      </c>
      <c r="C199" t="s">
        <v>488</v>
      </c>
      <c r="D199" s="66" t="s">
        <v>489</v>
      </c>
      <c r="E199" s="203" t="s">
        <v>61</v>
      </c>
    </row>
    <row r="200" spans="2:5" x14ac:dyDescent="0.35">
      <c r="B200" s="202" t="s">
        <v>490</v>
      </c>
      <c r="C200" t="s">
        <v>478</v>
      </c>
      <c r="D200" s="66" t="s">
        <v>491</v>
      </c>
      <c r="E200" s="203" t="s">
        <v>61</v>
      </c>
    </row>
    <row r="201" spans="2:5" x14ac:dyDescent="0.35">
      <c r="B201" s="204" t="s">
        <v>492</v>
      </c>
      <c r="C201" s="205" t="s">
        <v>493</v>
      </c>
      <c r="D201" s="206">
        <v>65</v>
      </c>
      <c r="E201" s="207" t="s">
        <v>61</v>
      </c>
    </row>
    <row r="202" spans="2:5" x14ac:dyDescent="0.35">
      <c r="B202" s="202" t="s">
        <v>494</v>
      </c>
      <c r="C202" t="s">
        <v>495</v>
      </c>
      <c r="D202" s="66" t="s">
        <v>496</v>
      </c>
      <c r="E202" s="203" t="s">
        <v>61</v>
      </c>
    </row>
    <row r="203" spans="2:5" x14ac:dyDescent="0.35">
      <c r="B203" s="202" t="s">
        <v>497</v>
      </c>
      <c r="C203" t="s">
        <v>498</v>
      </c>
      <c r="D203" s="66" t="s">
        <v>499</v>
      </c>
      <c r="E203" s="203" t="s">
        <v>61</v>
      </c>
    </row>
    <row r="204" spans="2:5" x14ac:dyDescent="0.35">
      <c r="B204" s="204" t="s">
        <v>500</v>
      </c>
      <c r="C204" s="205" t="s">
        <v>501</v>
      </c>
      <c r="D204" s="210"/>
      <c r="E204" s="207" t="s">
        <v>61</v>
      </c>
    </row>
    <row r="205" spans="2:5" x14ac:dyDescent="0.35">
      <c r="B205" s="202" t="s">
        <v>502</v>
      </c>
      <c r="C205" t="s">
        <v>503</v>
      </c>
      <c r="D205" s="201">
        <v>66</v>
      </c>
      <c r="E205" s="203" t="s">
        <v>61</v>
      </c>
    </row>
    <row r="206" spans="2:5" x14ac:dyDescent="0.35">
      <c r="B206" s="202" t="s">
        <v>504</v>
      </c>
      <c r="C206" t="s">
        <v>505</v>
      </c>
      <c r="D206" s="66" t="s">
        <v>506</v>
      </c>
      <c r="E206" s="203" t="s">
        <v>61</v>
      </c>
    </row>
    <row r="207" spans="2:5" x14ac:dyDescent="0.35">
      <c r="B207" s="202" t="s">
        <v>507</v>
      </c>
      <c r="C207" t="s">
        <v>508</v>
      </c>
      <c r="D207" s="66" t="s">
        <v>509</v>
      </c>
      <c r="E207" s="203" t="s">
        <v>61</v>
      </c>
    </row>
    <row r="208" spans="2:5" x14ac:dyDescent="0.35">
      <c r="B208" s="202" t="s">
        <v>510</v>
      </c>
      <c r="C208" t="s">
        <v>511</v>
      </c>
      <c r="D208" s="66" t="s">
        <v>512</v>
      </c>
      <c r="E208" s="203" t="s">
        <v>61</v>
      </c>
    </row>
    <row r="209" spans="2:5" x14ac:dyDescent="0.35">
      <c r="B209" s="202" t="s">
        <v>513</v>
      </c>
      <c r="C209" t="s">
        <v>514</v>
      </c>
      <c r="D209" s="66" t="s">
        <v>515</v>
      </c>
      <c r="E209" s="203" t="s">
        <v>61</v>
      </c>
    </row>
    <row r="210" spans="2:5" x14ac:dyDescent="0.35">
      <c r="B210" s="202" t="s">
        <v>516</v>
      </c>
      <c r="C210" t="s">
        <v>517</v>
      </c>
      <c r="D210" s="66" t="s">
        <v>518</v>
      </c>
      <c r="E210" s="203" t="s">
        <v>61</v>
      </c>
    </row>
    <row r="211" spans="2:5" x14ac:dyDescent="0.35">
      <c r="B211" s="202" t="s">
        <v>519</v>
      </c>
      <c r="C211" t="s">
        <v>520</v>
      </c>
      <c r="D211" s="66" t="s">
        <v>521</v>
      </c>
      <c r="E211" s="203" t="s">
        <v>61</v>
      </c>
    </row>
    <row r="212" spans="2:5" x14ac:dyDescent="0.35">
      <c r="B212" s="202" t="s">
        <v>522</v>
      </c>
      <c r="C212" t="s">
        <v>523</v>
      </c>
      <c r="D212" s="66" t="s">
        <v>524</v>
      </c>
      <c r="E212" s="203" t="s">
        <v>61</v>
      </c>
    </row>
    <row r="213" spans="2:5" x14ac:dyDescent="0.35">
      <c r="B213" s="202" t="s">
        <v>525</v>
      </c>
      <c r="C213" t="s">
        <v>526</v>
      </c>
      <c r="D213" s="201">
        <v>67</v>
      </c>
      <c r="E213" s="203" t="s">
        <v>61</v>
      </c>
    </row>
    <row r="214" spans="2:5" x14ac:dyDescent="0.35">
      <c r="B214" s="202" t="s">
        <v>527</v>
      </c>
      <c r="C214" t="s">
        <v>517</v>
      </c>
      <c r="D214" s="66" t="s">
        <v>528</v>
      </c>
      <c r="E214" s="203" t="s">
        <v>61</v>
      </c>
    </row>
    <row r="215" spans="2:5" x14ac:dyDescent="0.35">
      <c r="B215" s="202" t="s">
        <v>529</v>
      </c>
      <c r="C215" t="s">
        <v>530</v>
      </c>
      <c r="D215" s="66" t="s">
        <v>531</v>
      </c>
      <c r="E215" s="203" t="s">
        <v>61</v>
      </c>
    </row>
    <row r="216" spans="2:5" x14ac:dyDescent="0.35">
      <c r="B216" s="204" t="s">
        <v>532</v>
      </c>
      <c r="C216" s="205" t="s">
        <v>533</v>
      </c>
      <c r="D216" s="206">
        <v>68</v>
      </c>
      <c r="E216" s="207" t="s">
        <v>61</v>
      </c>
    </row>
    <row r="217" spans="2:5" x14ac:dyDescent="0.35">
      <c r="B217" s="202" t="s">
        <v>534</v>
      </c>
      <c r="C217" t="s">
        <v>535</v>
      </c>
      <c r="D217" s="66" t="s">
        <v>536</v>
      </c>
      <c r="E217" s="203" t="s">
        <v>61</v>
      </c>
    </row>
    <row r="218" spans="2:5" x14ac:dyDescent="0.35">
      <c r="B218" s="202" t="s">
        <v>537</v>
      </c>
      <c r="C218" t="s">
        <v>538</v>
      </c>
      <c r="D218" s="66" t="s">
        <v>539</v>
      </c>
      <c r="E218" s="203" t="s">
        <v>61</v>
      </c>
    </row>
    <row r="219" spans="2:5" x14ac:dyDescent="0.35">
      <c r="B219" s="202" t="s">
        <v>540</v>
      </c>
      <c r="C219" t="s">
        <v>541</v>
      </c>
      <c r="D219" s="66" t="s">
        <v>542</v>
      </c>
      <c r="E219" s="203" t="s">
        <v>61</v>
      </c>
    </row>
    <row r="220" spans="2:5" x14ac:dyDescent="0.35">
      <c r="B220" s="202" t="s">
        <v>543</v>
      </c>
      <c r="C220" t="s">
        <v>544</v>
      </c>
      <c r="D220" s="66" t="s">
        <v>545</v>
      </c>
      <c r="E220" s="203" t="s">
        <v>61</v>
      </c>
    </row>
    <row r="221" spans="2:5" x14ac:dyDescent="0.35">
      <c r="B221" s="202" t="s">
        <v>546</v>
      </c>
      <c r="C221" t="s">
        <v>547</v>
      </c>
      <c r="D221" s="66" t="s">
        <v>548</v>
      </c>
      <c r="E221" s="203" t="s">
        <v>61</v>
      </c>
    </row>
    <row r="222" spans="2:5" x14ac:dyDescent="0.35">
      <c r="B222" s="202" t="s">
        <v>549</v>
      </c>
      <c r="C222" t="s">
        <v>550</v>
      </c>
      <c r="D222" s="66" t="s">
        <v>551</v>
      </c>
      <c r="E222" s="203" t="s">
        <v>61</v>
      </c>
    </row>
    <row r="223" spans="2:5" x14ac:dyDescent="0.35">
      <c r="B223" s="202" t="s">
        <v>552</v>
      </c>
      <c r="C223" t="s">
        <v>553</v>
      </c>
      <c r="D223" s="66" t="s">
        <v>554</v>
      </c>
      <c r="E223" s="203" t="s">
        <v>61</v>
      </c>
    </row>
    <row r="224" spans="2:5" x14ac:dyDescent="0.35">
      <c r="B224" s="202" t="s">
        <v>555</v>
      </c>
      <c r="C224" t="s">
        <v>272</v>
      </c>
      <c r="D224" s="66" t="s">
        <v>556</v>
      </c>
      <c r="E224" s="203" t="s">
        <v>61</v>
      </c>
    </row>
    <row r="225" spans="2:10" x14ac:dyDescent="0.35">
      <c r="B225" s="202" t="s">
        <v>557</v>
      </c>
      <c r="C225" t="s">
        <v>558</v>
      </c>
      <c r="D225" s="66" t="s">
        <v>559</v>
      </c>
      <c r="E225" s="203" t="s">
        <v>61</v>
      </c>
    </row>
    <row r="226" spans="2:10" x14ac:dyDescent="0.35">
      <c r="B226" s="202" t="s">
        <v>560</v>
      </c>
      <c r="C226" t="s">
        <v>561</v>
      </c>
      <c r="D226" s="66" t="s">
        <v>562</v>
      </c>
      <c r="E226" s="203" t="s">
        <v>61</v>
      </c>
    </row>
    <row r="227" spans="2:10" x14ac:dyDescent="0.35">
      <c r="B227" s="202" t="s">
        <v>563</v>
      </c>
      <c r="C227" t="s">
        <v>564</v>
      </c>
      <c r="D227" s="66" t="s">
        <v>565</v>
      </c>
      <c r="E227" s="203" t="s">
        <v>61</v>
      </c>
    </row>
    <row r="228" spans="2:10" x14ac:dyDescent="0.35">
      <c r="B228" s="204" t="s">
        <v>566</v>
      </c>
      <c r="C228" s="205" t="s">
        <v>567</v>
      </c>
      <c r="D228" s="206">
        <v>69</v>
      </c>
      <c r="E228" s="207" t="s">
        <v>61</v>
      </c>
    </row>
    <row r="229" spans="2:10" x14ac:dyDescent="0.35">
      <c r="B229" s="202" t="s">
        <v>568</v>
      </c>
      <c r="C229" t="s">
        <v>569</v>
      </c>
      <c r="D229" s="66" t="s">
        <v>570</v>
      </c>
      <c r="E229" s="203" t="s">
        <v>61</v>
      </c>
    </row>
    <row r="230" spans="2:10" x14ac:dyDescent="0.35">
      <c r="B230" s="202" t="s">
        <v>571</v>
      </c>
      <c r="C230" t="s">
        <v>572</v>
      </c>
      <c r="D230" s="66" t="s">
        <v>573</v>
      </c>
      <c r="E230" s="203" t="s">
        <v>61</v>
      </c>
    </row>
    <row r="231" spans="2:10" x14ac:dyDescent="0.35">
      <c r="B231" s="202" t="s">
        <v>574</v>
      </c>
      <c r="C231" t="s">
        <v>575</v>
      </c>
      <c r="D231" s="66" t="s">
        <v>576</v>
      </c>
      <c r="E231" s="203" t="s">
        <v>61</v>
      </c>
    </row>
    <row r="232" spans="2:10" x14ac:dyDescent="0.35">
      <c r="B232" s="202" t="s">
        <v>577</v>
      </c>
      <c r="C232" t="s">
        <v>578</v>
      </c>
      <c r="D232" s="66" t="s">
        <v>579</v>
      </c>
      <c r="E232" s="203" t="s">
        <v>61</v>
      </c>
    </row>
    <row r="233" spans="2:10" x14ac:dyDescent="0.35">
      <c r="B233" s="202" t="s">
        <v>580</v>
      </c>
      <c r="C233" t="s">
        <v>581</v>
      </c>
      <c r="D233" s="66" t="s">
        <v>582</v>
      </c>
      <c r="E233" s="203" t="s">
        <v>61</v>
      </c>
    </row>
    <row r="234" spans="2:10" x14ac:dyDescent="0.35">
      <c r="B234" s="202" t="s">
        <v>583</v>
      </c>
      <c r="C234" t="s">
        <v>584</v>
      </c>
      <c r="D234" s="66" t="s">
        <v>585</v>
      </c>
      <c r="E234" s="203" t="s">
        <v>61</v>
      </c>
    </row>
    <row r="235" spans="2:10" x14ac:dyDescent="0.35">
      <c r="B235" s="202" t="s">
        <v>586</v>
      </c>
      <c r="C235" t="s">
        <v>587</v>
      </c>
      <c r="D235" s="66" t="s">
        <v>588</v>
      </c>
      <c r="E235" s="203" t="s">
        <v>61</v>
      </c>
    </row>
    <row r="236" spans="2:10" x14ac:dyDescent="0.35">
      <c r="B236" s="202"/>
      <c r="D236" s="66"/>
      <c r="E236" s="203"/>
    </row>
    <row r="237" spans="2:10" ht="18.5" x14ac:dyDescent="0.45">
      <c r="B237" s="214">
        <v>4</v>
      </c>
      <c r="C237" s="215" t="s">
        <v>589</v>
      </c>
      <c r="D237" s="220">
        <v>7</v>
      </c>
      <c r="E237" s="217"/>
      <c r="F237" s="18"/>
      <c r="G237" s="18"/>
      <c r="H237" s="18"/>
      <c r="I237" s="18"/>
      <c r="J237" s="18"/>
    </row>
    <row r="238" spans="2:10" x14ac:dyDescent="0.35">
      <c r="B238" s="204" t="s">
        <v>590</v>
      </c>
      <c r="C238" s="205" t="s">
        <v>591</v>
      </c>
      <c r="D238" s="206">
        <v>71</v>
      </c>
      <c r="E238" s="207"/>
    </row>
    <row r="239" spans="2:10" x14ac:dyDescent="0.35">
      <c r="B239" s="202" t="s">
        <v>592</v>
      </c>
      <c r="C239" t="s">
        <v>593</v>
      </c>
      <c r="D239" s="66" t="s">
        <v>594</v>
      </c>
      <c r="E239" s="203" t="s">
        <v>33</v>
      </c>
    </row>
    <row r="240" spans="2:10" x14ac:dyDescent="0.35">
      <c r="B240" s="202" t="s">
        <v>595</v>
      </c>
      <c r="C240" t="s">
        <v>596</v>
      </c>
      <c r="D240" s="66" t="s">
        <v>597</v>
      </c>
      <c r="E240" s="203" t="s">
        <v>33</v>
      </c>
    </row>
    <row r="241" spans="2:5" x14ac:dyDescent="0.35">
      <c r="B241" s="202" t="s">
        <v>598</v>
      </c>
      <c r="C241" t="s">
        <v>599</v>
      </c>
      <c r="D241" s="66" t="s">
        <v>600</v>
      </c>
      <c r="E241" s="203" t="s">
        <v>33</v>
      </c>
    </row>
    <row r="242" spans="2:5" x14ac:dyDescent="0.35">
      <c r="B242" s="202" t="s">
        <v>601</v>
      </c>
      <c r="C242" t="s">
        <v>431</v>
      </c>
      <c r="D242" s="66" t="s">
        <v>602</v>
      </c>
      <c r="E242" s="203" t="s">
        <v>33</v>
      </c>
    </row>
    <row r="243" spans="2:5" x14ac:dyDescent="0.35">
      <c r="B243" s="202" t="s">
        <v>603</v>
      </c>
      <c r="C243" t="s">
        <v>604</v>
      </c>
      <c r="D243" s="66" t="s">
        <v>605</v>
      </c>
      <c r="E243" s="203" t="s">
        <v>33</v>
      </c>
    </row>
    <row r="244" spans="2:5" x14ac:dyDescent="0.35">
      <c r="B244" s="202" t="s">
        <v>606</v>
      </c>
      <c r="C244" t="s">
        <v>478</v>
      </c>
      <c r="D244" s="66" t="s">
        <v>607</v>
      </c>
      <c r="E244" s="203" t="s">
        <v>33</v>
      </c>
    </row>
    <row r="245" spans="2:5" x14ac:dyDescent="0.35">
      <c r="B245" s="204" t="s">
        <v>608</v>
      </c>
      <c r="C245" s="205" t="s">
        <v>609</v>
      </c>
      <c r="D245" s="206">
        <v>72</v>
      </c>
      <c r="E245" s="207"/>
    </row>
    <row r="246" spans="2:5" x14ac:dyDescent="0.35">
      <c r="B246" s="202" t="s">
        <v>610</v>
      </c>
      <c r="C246" t="s">
        <v>611</v>
      </c>
      <c r="D246" s="66" t="s">
        <v>612</v>
      </c>
      <c r="E246" s="203" t="s">
        <v>33</v>
      </c>
    </row>
    <row r="247" spans="2:5" x14ac:dyDescent="0.35">
      <c r="B247" s="202" t="s">
        <v>613</v>
      </c>
      <c r="C247" t="s">
        <v>614</v>
      </c>
      <c r="D247" s="66" t="s">
        <v>615</v>
      </c>
      <c r="E247" s="203" t="s">
        <v>33</v>
      </c>
    </row>
    <row r="248" spans="2:5" x14ac:dyDescent="0.35">
      <c r="B248" s="202" t="s">
        <v>616</v>
      </c>
      <c r="C248" t="s">
        <v>617</v>
      </c>
      <c r="D248" s="66" t="s">
        <v>618</v>
      </c>
      <c r="E248" s="203" t="s">
        <v>33</v>
      </c>
    </row>
    <row r="249" spans="2:5" x14ac:dyDescent="0.35">
      <c r="B249" s="202" t="s">
        <v>619</v>
      </c>
      <c r="C249" t="s">
        <v>620</v>
      </c>
      <c r="D249" s="66" t="s">
        <v>621</v>
      </c>
      <c r="E249" s="203" t="s">
        <v>33</v>
      </c>
    </row>
    <row r="250" spans="2:5" x14ac:dyDescent="0.35">
      <c r="B250" s="202" t="s">
        <v>622</v>
      </c>
      <c r="C250" t="s">
        <v>478</v>
      </c>
      <c r="D250" s="66" t="s">
        <v>623</v>
      </c>
      <c r="E250" s="203" t="s">
        <v>33</v>
      </c>
    </row>
    <row r="251" spans="2:5" x14ac:dyDescent="0.35">
      <c r="B251" s="204" t="s">
        <v>624</v>
      </c>
      <c r="C251" s="205" t="s">
        <v>625</v>
      </c>
      <c r="D251" s="206">
        <v>73</v>
      </c>
      <c r="E251" s="207"/>
    </row>
    <row r="252" spans="2:5" x14ac:dyDescent="0.35">
      <c r="B252" s="202" t="s">
        <v>626</v>
      </c>
      <c r="C252" t="s">
        <v>627</v>
      </c>
      <c r="D252" s="66" t="s">
        <v>628</v>
      </c>
      <c r="E252" s="203" t="s">
        <v>33</v>
      </c>
    </row>
    <row r="253" spans="2:5" x14ac:dyDescent="0.35">
      <c r="B253" s="202" t="s">
        <v>629</v>
      </c>
      <c r="C253" t="s">
        <v>630</v>
      </c>
      <c r="D253" s="66" t="s">
        <v>631</v>
      </c>
      <c r="E253" s="203" t="s">
        <v>33</v>
      </c>
    </row>
    <row r="254" spans="2:5" x14ac:dyDescent="0.35">
      <c r="B254" s="202" t="s">
        <v>632</v>
      </c>
      <c r="C254" t="s">
        <v>478</v>
      </c>
      <c r="D254" s="66" t="s">
        <v>633</v>
      </c>
      <c r="E254" s="203" t="s">
        <v>33</v>
      </c>
    </row>
    <row r="255" spans="2:5" x14ac:dyDescent="0.35">
      <c r="B255" s="204" t="s">
        <v>634</v>
      </c>
      <c r="C255" s="205" t="s">
        <v>635</v>
      </c>
      <c r="D255" s="206">
        <v>75</v>
      </c>
      <c r="E255" s="207"/>
    </row>
    <row r="256" spans="2:5" x14ac:dyDescent="0.35">
      <c r="B256" s="202" t="s">
        <v>636</v>
      </c>
      <c r="C256" t="s">
        <v>637</v>
      </c>
      <c r="D256" s="66" t="s">
        <v>638</v>
      </c>
      <c r="E256" s="203" t="s">
        <v>33</v>
      </c>
    </row>
    <row r="257" spans="2:5" x14ac:dyDescent="0.35">
      <c r="B257" s="202" t="s">
        <v>639</v>
      </c>
      <c r="C257" t="s">
        <v>640</v>
      </c>
      <c r="D257" s="66" t="s">
        <v>641</v>
      </c>
      <c r="E257" s="203" t="s">
        <v>33</v>
      </c>
    </row>
    <row r="258" spans="2:5" x14ac:dyDescent="0.35">
      <c r="B258" s="202" t="s">
        <v>642</v>
      </c>
      <c r="C258" t="s">
        <v>643</v>
      </c>
      <c r="D258" s="66" t="s">
        <v>644</v>
      </c>
      <c r="E258" s="203" t="s">
        <v>33</v>
      </c>
    </row>
    <row r="259" spans="2:5" x14ac:dyDescent="0.35">
      <c r="B259" s="202" t="s">
        <v>645</v>
      </c>
      <c r="C259" t="s">
        <v>646</v>
      </c>
      <c r="D259" s="66" t="s">
        <v>647</v>
      </c>
      <c r="E259" s="203" t="s">
        <v>33</v>
      </c>
    </row>
    <row r="260" spans="2:5" x14ac:dyDescent="0.35">
      <c r="B260" s="202" t="s">
        <v>648</v>
      </c>
      <c r="C260" t="s">
        <v>649</v>
      </c>
      <c r="D260" s="66" t="s">
        <v>650</v>
      </c>
      <c r="E260" s="203" t="s">
        <v>33</v>
      </c>
    </row>
    <row r="261" spans="2:5" x14ac:dyDescent="0.35">
      <c r="B261" s="202" t="s">
        <v>651</v>
      </c>
      <c r="C261" t="s">
        <v>652</v>
      </c>
      <c r="D261" s="66" t="s">
        <v>653</v>
      </c>
      <c r="E261" s="203" t="s">
        <v>33</v>
      </c>
    </row>
    <row r="262" spans="2:5" x14ac:dyDescent="0.35">
      <c r="B262" s="202" t="s">
        <v>654</v>
      </c>
      <c r="C262" t="s">
        <v>655</v>
      </c>
      <c r="D262" s="66" t="s">
        <v>656</v>
      </c>
      <c r="E262" s="203" t="s">
        <v>33</v>
      </c>
    </row>
    <row r="263" spans="2:5" x14ac:dyDescent="0.35">
      <c r="B263" s="202" t="s">
        <v>657</v>
      </c>
      <c r="C263" t="s">
        <v>478</v>
      </c>
      <c r="D263" s="66" t="s">
        <v>658</v>
      </c>
      <c r="E263" s="203" t="s">
        <v>33</v>
      </c>
    </row>
    <row r="264" spans="2:5" x14ac:dyDescent="0.35">
      <c r="B264" s="204" t="s">
        <v>659</v>
      </c>
      <c r="C264" s="205" t="s">
        <v>660</v>
      </c>
      <c r="D264" s="210"/>
      <c r="E264" s="207"/>
    </row>
    <row r="265" spans="2:5" x14ac:dyDescent="0.35">
      <c r="B265" s="202" t="s">
        <v>661</v>
      </c>
      <c r="C265" t="s">
        <v>662</v>
      </c>
      <c r="D265" s="201">
        <v>76</v>
      </c>
      <c r="E265" s="203"/>
    </row>
    <row r="266" spans="2:5" x14ac:dyDescent="0.35">
      <c r="B266" s="202" t="s">
        <v>663</v>
      </c>
      <c r="C266" t="s">
        <v>505</v>
      </c>
      <c r="D266" s="66" t="s">
        <v>664</v>
      </c>
      <c r="E266" s="203" t="s">
        <v>33</v>
      </c>
    </row>
    <row r="267" spans="2:5" x14ac:dyDescent="0.35">
      <c r="B267" s="202" t="s">
        <v>665</v>
      </c>
      <c r="C267" t="s">
        <v>666</v>
      </c>
      <c r="D267" s="66" t="s">
        <v>667</v>
      </c>
      <c r="E267" s="203" t="s">
        <v>33</v>
      </c>
    </row>
    <row r="268" spans="2:5" x14ac:dyDescent="0.35">
      <c r="B268" s="202" t="s">
        <v>668</v>
      </c>
      <c r="C268" t="s">
        <v>669</v>
      </c>
      <c r="D268" s="66" t="s">
        <v>670</v>
      </c>
      <c r="E268" s="203" t="s">
        <v>33</v>
      </c>
    </row>
    <row r="269" spans="2:5" x14ac:dyDescent="0.35">
      <c r="B269" s="202" t="s">
        <v>671</v>
      </c>
      <c r="C269" t="s">
        <v>672</v>
      </c>
      <c r="D269" s="66" t="s">
        <v>673</v>
      </c>
      <c r="E269" s="203" t="s">
        <v>33</v>
      </c>
    </row>
    <row r="270" spans="2:5" x14ac:dyDescent="0.35">
      <c r="B270" s="202" t="s">
        <v>674</v>
      </c>
      <c r="C270" t="s">
        <v>675</v>
      </c>
      <c r="D270" s="66" t="s">
        <v>676</v>
      </c>
      <c r="E270" s="203" t="s">
        <v>33</v>
      </c>
    </row>
    <row r="271" spans="2:5" x14ac:dyDescent="0.35">
      <c r="B271" s="202" t="s">
        <v>677</v>
      </c>
      <c r="C271" t="s">
        <v>678</v>
      </c>
      <c r="D271" s="66" t="s">
        <v>679</v>
      </c>
      <c r="E271" s="203" t="s">
        <v>33</v>
      </c>
    </row>
    <row r="272" spans="2:5" x14ac:dyDescent="0.35">
      <c r="B272" s="202" t="s">
        <v>680</v>
      </c>
      <c r="C272" t="s">
        <v>681</v>
      </c>
      <c r="D272" s="66" t="s">
        <v>682</v>
      </c>
      <c r="E272" s="203" t="s">
        <v>33</v>
      </c>
    </row>
    <row r="273" spans="2:5" x14ac:dyDescent="0.35">
      <c r="B273" s="202" t="s">
        <v>683</v>
      </c>
      <c r="C273" t="s">
        <v>684</v>
      </c>
      <c r="D273" s="66" t="s">
        <v>685</v>
      </c>
      <c r="E273" s="203" t="s">
        <v>33</v>
      </c>
    </row>
    <row r="274" spans="2:5" x14ac:dyDescent="0.35">
      <c r="B274" s="202" t="s">
        <v>686</v>
      </c>
      <c r="C274" t="s">
        <v>687</v>
      </c>
      <c r="D274" s="201">
        <v>77</v>
      </c>
      <c r="E274" s="203"/>
    </row>
    <row r="275" spans="2:5" x14ac:dyDescent="0.35">
      <c r="B275" s="202" t="s">
        <v>688</v>
      </c>
      <c r="C275" t="s">
        <v>684</v>
      </c>
      <c r="D275" s="66" t="s">
        <v>689</v>
      </c>
      <c r="E275" s="203" t="s">
        <v>33</v>
      </c>
    </row>
    <row r="276" spans="2:5" x14ac:dyDescent="0.35">
      <c r="B276" s="204" t="s">
        <v>690</v>
      </c>
      <c r="C276" s="205" t="s">
        <v>691</v>
      </c>
      <c r="D276" s="206">
        <v>78</v>
      </c>
      <c r="E276" s="207"/>
    </row>
    <row r="277" spans="2:5" x14ac:dyDescent="0.35">
      <c r="B277" s="202" t="s">
        <v>692</v>
      </c>
      <c r="C277" t="s">
        <v>693</v>
      </c>
      <c r="D277" s="66" t="s">
        <v>694</v>
      </c>
      <c r="E277" s="203" t="s">
        <v>33</v>
      </c>
    </row>
    <row r="278" spans="2:5" x14ac:dyDescent="0.35">
      <c r="B278" s="202" t="s">
        <v>695</v>
      </c>
      <c r="C278" t="s">
        <v>696</v>
      </c>
      <c r="D278" s="66" t="s">
        <v>697</v>
      </c>
      <c r="E278" s="203" t="s">
        <v>33</v>
      </c>
    </row>
    <row r="279" spans="2:5" x14ac:dyDescent="0.35">
      <c r="B279" s="202" t="s">
        <v>698</v>
      </c>
      <c r="C279" t="s">
        <v>699</v>
      </c>
      <c r="D279" s="66" t="s">
        <v>700</v>
      </c>
      <c r="E279" s="203" t="s">
        <v>33</v>
      </c>
    </row>
    <row r="280" spans="2:5" x14ac:dyDescent="0.35">
      <c r="B280" s="202" t="s">
        <v>701</v>
      </c>
      <c r="C280" t="s">
        <v>702</v>
      </c>
      <c r="D280" s="66" t="s">
        <v>703</v>
      </c>
      <c r="E280" s="203" t="s">
        <v>33</v>
      </c>
    </row>
    <row r="281" spans="2:5" x14ac:dyDescent="0.35">
      <c r="B281" s="202" t="s">
        <v>704</v>
      </c>
      <c r="C281" t="s">
        <v>705</v>
      </c>
      <c r="D281" s="66" t="s">
        <v>706</v>
      </c>
      <c r="E281" s="203" t="s">
        <v>33</v>
      </c>
    </row>
    <row r="282" spans="2:5" x14ac:dyDescent="0.35">
      <c r="B282" s="202" t="s">
        <v>707</v>
      </c>
      <c r="C282" t="s">
        <v>708</v>
      </c>
      <c r="D282" s="66" t="s">
        <v>709</v>
      </c>
      <c r="E282" s="203" t="s">
        <v>33</v>
      </c>
    </row>
    <row r="283" spans="2:5" x14ac:dyDescent="0.35">
      <c r="B283" s="202" t="s">
        <v>710</v>
      </c>
      <c r="C283" t="s">
        <v>711</v>
      </c>
      <c r="D283" s="66" t="s">
        <v>712</v>
      </c>
      <c r="E283" s="203" t="s">
        <v>33</v>
      </c>
    </row>
    <row r="284" spans="2:5" x14ac:dyDescent="0.35">
      <c r="B284" s="202" t="s">
        <v>713</v>
      </c>
      <c r="C284" t="s">
        <v>553</v>
      </c>
      <c r="D284" s="66" t="s">
        <v>714</v>
      </c>
      <c r="E284" s="203" t="s">
        <v>33</v>
      </c>
    </row>
    <row r="285" spans="2:5" x14ac:dyDescent="0.35">
      <c r="B285" s="202" t="s">
        <v>715</v>
      </c>
      <c r="C285" t="s">
        <v>272</v>
      </c>
      <c r="D285" s="66" t="s">
        <v>716</v>
      </c>
      <c r="E285" s="203" t="s">
        <v>33</v>
      </c>
    </row>
    <row r="286" spans="2:5" x14ac:dyDescent="0.35">
      <c r="B286" s="202" t="s">
        <v>717</v>
      </c>
      <c r="C286" t="s">
        <v>558</v>
      </c>
      <c r="D286" s="66" t="s">
        <v>718</v>
      </c>
      <c r="E286" s="203" t="s">
        <v>33</v>
      </c>
    </row>
    <row r="287" spans="2:5" x14ac:dyDescent="0.35">
      <c r="B287" s="202" t="s">
        <v>719</v>
      </c>
      <c r="C287" t="s">
        <v>720</v>
      </c>
      <c r="D287" s="66" t="s">
        <v>721</v>
      </c>
      <c r="E287" s="203" t="s">
        <v>33</v>
      </c>
    </row>
    <row r="288" spans="2:5" x14ac:dyDescent="0.35">
      <c r="B288" s="202" t="s">
        <v>722</v>
      </c>
      <c r="C288" t="s">
        <v>723</v>
      </c>
      <c r="D288" s="66" t="s">
        <v>724</v>
      </c>
      <c r="E288" s="203" t="s">
        <v>33</v>
      </c>
    </row>
    <row r="289" spans="2:5" x14ac:dyDescent="0.35">
      <c r="B289" s="204" t="s">
        <v>725</v>
      </c>
      <c r="C289" s="205" t="s">
        <v>726</v>
      </c>
      <c r="D289" s="206">
        <v>79</v>
      </c>
      <c r="E289" s="207"/>
    </row>
    <row r="290" spans="2:5" x14ac:dyDescent="0.35">
      <c r="B290" s="202" t="s">
        <v>727</v>
      </c>
      <c r="C290" t="s">
        <v>728</v>
      </c>
      <c r="D290" s="66" t="s">
        <v>729</v>
      </c>
      <c r="E290" s="203" t="s">
        <v>33</v>
      </c>
    </row>
    <row r="291" spans="2:5" x14ac:dyDescent="0.35">
      <c r="B291" s="202" t="s">
        <v>730</v>
      </c>
      <c r="C291" t="s">
        <v>731</v>
      </c>
      <c r="D291" s="66" t="s">
        <v>732</v>
      </c>
      <c r="E291" s="203" t="s">
        <v>33</v>
      </c>
    </row>
    <row r="292" spans="2:5" x14ac:dyDescent="0.35">
      <c r="B292" s="202" t="s">
        <v>733</v>
      </c>
      <c r="C292" t="s">
        <v>734</v>
      </c>
      <c r="D292" s="66" t="s">
        <v>735</v>
      </c>
      <c r="E292" s="203" t="s">
        <v>33</v>
      </c>
    </row>
    <row r="293" spans="2:5" x14ac:dyDescent="0.35">
      <c r="B293" s="202" t="s">
        <v>736</v>
      </c>
      <c r="C293" t="s">
        <v>737</v>
      </c>
      <c r="D293" s="66" t="s">
        <v>738</v>
      </c>
      <c r="E293" s="203" t="s">
        <v>33</v>
      </c>
    </row>
    <row r="294" spans="2:5" x14ac:dyDescent="0.35">
      <c r="B294" s="202" t="s">
        <v>739</v>
      </c>
      <c r="C294" t="s">
        <v>587</v>
      </c>
      <c r="D294" s="66" t="s">
        <v>740</v>
      </c>
      <c r="E294" s="203" t="s">
        <v>33</v>
      </c>
    </row>
    <row r="295" spans="2:5" ht="15" thickBot="1" x14ac:dyDescent="0.4">
      <c r="B295" s="221"/>
      <c r="C295" s="222"/>
      <c r="D295" s="228"/>
      <c r="E295" s="223"/>
    </row>
    <row r="296" spans="2:5" x14ac:dyDescent="0.35">
      <c r="D296" s="66"/>
    </row>
    <row r="297" spans="2:5" ht="15" thickBot="1" x14ac:dyDescent="0.4">
      <c r="D297" s="66"/>
    </row>
    <row r="298" spans="2:5" x14ac:dyDescent="0.35">
      <c r="B298" s="224"/>
      <c r="C298" s="229" t="s">
        <v>741</v>
      </c>
      <c r="D298" s="230">
        <v>82</v>
      </c>
      <c r="E298" s="227" t="s">
        <v>61</v>
      </c>
    </row>
    <row r="299" spans="2:5" x14ac:dyDescent="0.35">
      <c r="B299" s="202"/>
      <c r="C299" t="s">
        <v>742</v>
      </c>
      <c r="D299" s="201">
        <v>83</v>
      </c>
      <c r="E299" s="203" t="s">
        <v>61</v>
      </c>
    </row>
    <row r="300" spans="2:5" x14ac:dyDescent="0.35">
      <c r="B300" s="202"/>
      <c r="C300" t="s">
        <v>743</v>
      </c>
      <c r="D300" s="201">
        <v>84</v>
      </c>
      <c r="E300" s="203" t="s">
        <v>61</v>
      </c>
    </row>
    <row r="301" spans="2:5" x14ac:dyDescent="0.35">
      <c r="B301" s="202"/>
      <c r="C301" t="s">
        <v>744</v>
      </c>
      <c r="D301" s="201">
        <v>85</v>
      </c>
      <c r="E301" s="203" t="s">
        <v>61</v>
      </c>
    </row>
    <row r="302" spans="2:5" x14ac:dyDescent="0.35">
      <c r="B302" s="202"/>
      <c r="C302" s="66" t="s">
        <v>745</v>
      </c>
      <c r="D302" s="201"/>
      <c r="E302" s="203"/>
    </row>
    <row r="303" spans="2:5" x14ac:dyDescent="0.35">
      <c r="B303" s="202"/>
      <c r="C303" t="s">
        <v>746</v>
      </c>
      <c r="D303" s="201"/>
      <c r="E303" s="203"/>
    </row>
    <row r="304" spans="2:5" x14ac:dyDescent="0.35">
      <c r="B304" s="202"/>
      <c r="C304" s="66" t="s">
        <v>747</v>
      </c>
      <c r="D304" s="201"/>
      <c r="E304" s="203"/>
    </row>
    <row r="305" spans="2:5" x14ac:dyDescent="0.35">
      <c r="B305" s="202"/>
      <c r="C305" t="s">
        <v>748</v>
      </c>
      <c r="D305" s="201">
        <v>86</v>
      </c>
      <c r="E305" s="203" t="s">
        <v>61</v>
      </c>
    </row>
    <row r="306" spans="2:5" x14ac:dyDescent="0.35">
      <c r="B306" s="202"/>
      <c r="C306" t="s">
        <v>746</v>
      </c>
      <c r="D306" s="201">
        <v>87</v>
      </c>
      <c r="E306" s="203" t="s">
        <v>61</v>
      </c>
    </row>
    <row r="307" spans="2:5" x14ac:dyDescent="0.35">
      <c r="B307" s="202"/>
      <c r="C307" s="66" t="s">
        <v>749</v>
      </c>
      <c r="D307" s="201">
        <v>88</v>
      </c>
      <c r="E307" s="203" t="s">
        <v>61</v>
      </c>
    </row>
    <row r="308" spans="2:5" ht="15" thickBot="1" x14ac:dyDescent="0.4">
      <c r="B308" s="221"/>
      <c r="C308" s="222"/>
      <c r="D308" s="222"/>
      <c r="E308" s="223"/>
    </row>
  </sheetData>
  <mergeCells count="38">
    <mergeCell ref="A3:A5"/>
    <mergeCell ref="B3:B5"/>
    <mergeCell ref="C3:C5"/>
    <mergeCell ref="D3:D5"/>
    <mergeCell ref="E3:E5"/>
    <mergeCell ref="T3:U3"/>
    <mergeCell ref="K4:M4"/>
    <mergeCell ref="T4:T5"/>
    <mergeCell ref="U4:U5"/>
    <mergeCell ref="B1:E1"/>
    <mergeCell ref="G3:G5"/>
    <mergeCell ref="H3:H5"/>
    <mergeCell ref="I3:J5"/>
    <mergeCell ref="K3:N3"/>
    <mergeCell ref="P3:P5"/>
    <mergeCell ref="Q3:Q5"/>
    <mergeCell ref="R3:S5"/>
    <mergeCell ref="H82:I82"/>
    <mergeCell ref="H6:I6"/>
    <mergeCell ref="Q6:U6"/>
    <mergeCell ref="H7:I7"/>
    <mergeCell ref="Q7:U7"/>
    <mergeCell ref="Q29:R29"/>
    <mergeCell ref="Q31:R31"/>
    <mergeCell ref="Q45:R45"/>
    <mergeCell ref="H48:I48"/>
    <mergeCell ref="H50:I50"/>
    <mergeCell ref="Q81:R81"/>
    <mergeCell ref="Q83:R83"/>
    <mergeCell ref="H85:I85"/>
    <mergeCell ref="H86:I86"/>
    <mergeCell ref="H107:I107"/>
    <mergeCell ref="H109:I109"/>
    <mergeCell ref="H124:I124"/>
    <mergeCell ref="H126:I126"/>
    <mergeCell ref="H162:I162"/>
    <mergeCell ref="H170:I170"/>
    <mergeCell ref="H83:I83"/>
  </mergeCells>
  <phoneticPr fontId="24" type="noConversion"/>
  <pageMargins left="0.7" right="0.7" top="0.75" bottom="0.75" header="0.3" footer="0.3"/>
  <pageSetup paperSize="9" scale="81" fitToHeight="0"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30469-2837-4A19-934F-3523F26E51FA}">
  <sheetPr>
    <pageSetUpPr fitToPage="1"/>
  </sheetPr>
  <dimension ref="A1:J488"/>
  <sheetViews>
    <sheetView tabSelected="1" view="pageBreakPreview" zoomScale="120" zoomScaleNormal="80" zoomScaleSheetLayoutView="120" workbookViewId="0">
      <pane ySplit="1" topLeftCell="A2" activePane="bottomLeft" state="frozen"/>
      <selection pane="bottomLeft" sqref="A1:E1"/>
    </sheetView>
  </sheetViews>
  <sheetFormatPr defaultColWidth="8.90625" defaultRowHeight="14.5" x14ac:dyDescent="0.35"/>
  <cols>
    <col min="1" max="1" width="8.453125" customWidth="1"/>
    <col min="2" max="2" width="7.26953125" style="158" customWidth="1"/>
    <col min="3" max="3" width="57.453125" style="158" customWidth="1"/>
    <col min="4" max="4" width="22.453125" style="159" customWidth="1"/>
    <col min="5" max="5" width="24.453125" style="159" customWidth="1"/>
    <col min="6" max="7" width="23.81640625" customWidth="1"/>
    <col min="8" max="8" width="16.54296875" bestFit="1" customWidth="1"/>
  </cols>
  <sheetData>
    <row r="1" spans="1:8" ht="26.5" customHeight="1" x14ac:dyDescent="0.35">
      <c r="A1" s="643"/>
      <c r="B1" s="643"/>
      <c r="C1" s="643"/>
      <c r="D1" s="643"/>
      <c r="E1" s="643"/>
    </row>
    <row r="2" spans="1:8" x14ac:dyDescent="0.35">
      <c r="B2" s="645"/>
      <c r="C2" s="645"/>
      <c r="D2" s="645"/>
      <c r="E2" s="645"/>
      <c r="F2" s="645"/>
      <c r="G2" s="645"/>
    </row>
    <row r="3" spans="1:8" ht="18.5" x14ac:dyDescent="0.45">
      <c r="B3" s="646" t="s">
        <v>750</v>
      </c>
      <c r="C3" s="646"/>
      <c r="D3" s="646"/>
      <c r="E3" s="646"/>
      <c r="F3" s="646"/>
      <c r="G3" s="646"/>
    </row>
    <row r="4" spans="1:8" ht="15" thickBot="1" x14ac:dyDescent="0.4">
      <c r="B4" s="644" t="s">
        <v>751</v>
      </c>
      <c r="C4" s="644"/>
      <c r="D4" s="644"/>
      <c r="E4" s="644"/>
      <c r="F4" s="644"/>
      <c r="G4" s="644"/>
    </row>
    <row r="5" spans="1:8" ht="16.5" thickTop="1" thickBot="1" x14ac:dyDescent="0.4">
      <c r="B5" s="160" t="s">
        <v>752</v>
      </c>
      <c r="C5" s="161" t="s">
        <v>753</v>
      </c>
      <c r="D5" s="161" t="s">
        <v>754</v>
      </c>
      <c r="E5" s="161" t="s">
        <v>755</v>
      </c>
      <c r="F5" s="527" t="s">
        <v>756</v>
      </c>
      <c r="G5" s="162" t="s">
        <v>757</v>
      </c>
      <c r="H5" s="603" t="s">
        <v>1782</v>
      </c>
    </row>
    <row r="6" spans="1:8" ht="16" thickTop="1" x14ac:dyDescent="0.35">
      <c r="B6" s="163" t="s">
        <v>758</v>
      </c>
      <c r="C6" s="164" t="s">
        <v>759</v>
      </c>
      <c r="D6" s="455">
        <f t="shared" ref="D6:E6" si="0">D7+D35+D43+D60+D68+D86</f>
        <v>9628024759.1399994</v>
      </c>
      <c r="E6" s="455">
        <f t="shared" si="0"/>
        <v>6183074302.04</v>
      </c>
      <c r="F6" s="455">
        <f>IF(D6&gt;0,D6-E6,D6-E6)</f>
        <v>3444950457.0999994</v>
      </c>
      <c r="G6" s="466">
        <f>G7+G35+G43+G60+G68+G86</f>
        <v>0</v>
      </c>
      <c r="H6" s="133"/>
    </row>
    <row r="7" spans="1:8" ht="15.5" x14ac:dyDescent="0.35">
      <c r="B7" s="165" t="s">
        <v>760</v>
      </c>
      <c r="C7" s="166" t="s">
        <v>761</v>
      </c>
      <c r="D7" s="456">
        <f t="shared" ref="D7:E7" si="1">D8+D13+D17+D21+D24+D29+D32</f>
        <v>9292889535.8500004</v>
      </c>
      <c r="E7" s="456">
        <f t="shared" si="1"/>
        <v>53258116.479999997</v>
      </c>
      <c r="F7" s="456">
        <f t="shared" ref="F7:F70" si="2">IF(D7&gt;=E7,D7-E7,D7-E7)</f>
        <v>9239631419.3700008</v>
      </c>
      <c r="G7" s="470">
        <f>G8+G13+G17+G21+G24+G29+G32</f>
        <v>0</v>
      </c>
      <c r="H7" s="133"/>
    </row>
    <row r="8" spans="1:8" ht="15.5" x14ac:dyDescent="0.35">
      <c r="B8" s="404" t="s">
        <v>762</v>
      </c>
      <c r="C8" s="405" t="s">
        <v>763</v>
      </c>
      <c r="D8" s="457">
        <f t="shared" ref="D8:E8" si="3">SUM(D9:D12)</f>
        <v>0</v>
      </c>
      <c r="E8" s="457">
        <f t="shared" si="3"/>
        <v>0</v>
      </c>
      <c r="F8" s="457">
        <f t="shared" si="2"/>
        <v>0</v>
      </c>
      <c r="G8" s="467">
        <f>SUM(G9:G12)</f>
        <v>0</v>
      </c>
      <c r="H8" s="133"/>
    </row>
    <row r="9" spans="1:8" ht="15.5" x14ac:dyDescent="0.35">
      <c r="B9" s="378">
        <v>1111</v>
      </c>
      <c r="C9" s="379" t="s">
        <v>764</v>
      </c>
      <c r="D9" s="484"/>
      <c r="E9" s="505"/>
      <c r="F9" s="463">
        <f t="shared" si="2"/>
        <v>0</v>
      </c>
      <c r="G9" s="468"/>
      <c r="H9" s="133"/>
    </row>
    <row r="10" spans="1:8" ht="15.5" x14ac:dyDescent="0.35">
      <c r="B10" s="378">
        <v>1112</v>
      </c>
      <c r="C10" s="379" t="s">
        <v>765</v>
      </c>
      <c r="D10" s="484"/>
      <c r="E10" s="505"/>
      <c r="F10" s="463">
        <f t="shared" si="2"/>
        <v>0</v>
      </c>
      <c r="G10" s="468"/>
      <c r="H10" s="133"/>
    </row>
    <row r="11" spans="1:8" ht="15.5" x14ac:dyDescent="0.35">
      <c r="B11" s="378">
        <v>1113</v>
      </c>
      <c r="C11" s="379" t="s">
        <v>766</v>
      </c>
      <c r="D11" s="484"/>
      <c r="E11" s="505"/>
      <c r="F11" s="463">
        <f t="shared" si="2"/>
        <v>0</v>
      </c>
      <c r="G11" s="468"/>
      <c r="H11" s="133"/>
    </row>
    <row r="12" spans="1:8" ht="15.5" x14ac:dyDescent="0.35">
      <c r="B12" s="380" t="s">
        <v>767</v>
      </c>
      <c r="C12" s="381" t="s">
        <v>768</v>
      </c>
      <c r="D12" s="485"/>
      <c r="E12" s="506"/>
      <c r="F12" s="463">
        <f t="shared" si="2"/>
        <v>0</v>
      </c>
      <c r="G12" s="468"/>
      <c r="H12" s="133"/>
    </row>
    <row r="13" spans="1:8" ht="15.5" x14ac:dyDescent="0.35">
      <c r="B13" s="404" t="s">
        <v>769</v>
      </c>
      <c r="C13" s="405" t="s">
        <v>770</v>
      </c>
      <c r="D13" s="457">
        <f t="shared" ref="D13:E13" si="4">SUM(D14:D16)</f>
        <v>4397482892.2299995</v>
      </c>
      <c r="E13" s="457">
        <f t="shared" si="4"/>
        <v>0</v>
      </c>
      <c r="F13" s="457">
        <f t="shared" si="2"/>
        <v>4397482892.2299995</v>
      </c>
      <c r="G13" s="467">
        <f>SUM(G14:G16)</f>
        <v>0</v>
      </c>
      <c r="H13" s="133"/>
    </row>
    <row r="14" spans="1:8" ht="15.5" x14ac:dyDescent="0.35">
      <c r="B14" s="380" t="s">
        <v>771</v>
      </c>
      <c r="C14" s="381" t="s">
        <v>772</v>
      </c>
      <c r="D14" s="485">
        <v>4397482892.2299995</v>
      </c>
      <c r="E14" s="506">
        <v>0</v>
      </c>
      <c r="F14" s="454">
        <f t="shared" si="2"/>
        <v>4397482892.2299995</v>
      </c>
      <c r="G14" s="468"/>
      <c r="H14" s="133"/>
    </row>
    <row r="15" spans="1:8" ht="15.5" x14ac:dyDescent="0.35">
      <c r="B15" s="378">
        <v>1122</v>
      </c>
      <c r="C15" s="381" t="s">
        <v>773</v>
      </c>
      <c r="D15" s="485"/>
      <c r="E15" s="506"/>
      <c r="F15" s="454">
        <f t="shared" si="2"/>
        <v>0</v>
      </c>
      <c r="G15" s="468"/>
      <c r="H15" s="133"/>
    </row>
    <row r="16" spans="1:8" ht="15.5" x14ac:dyDescent="0.35">
      <c r="B16" s="378">
        <v>1123</v>
      </c>
      <c r="C16" s="381" t="s">
        <v>774</v>
      </c>
      <c r="D16" s="485"/>
      <c r="E16" s="506"/>
      <c r="F16" s="454">
        <f t="shared" si="2"/>
        <v>0</v>
      </c>
      <c r="G16" s="468"/>
      <c r="H16" s="133"/>
    </row>
    <row r="17" spans="2:8" ht="15.5" x14ac:dyDescent="0.35">
      <c r="B17" s="404" t="s">
        <v>775</v>
      </c>
      <c r="C17" s="405" t="s">
        <v>776</v>
      </c>
      <c r="D17" s="457">
        <f t="shared" ref="D17:E17" si="5">SUM(D18:D20)</f>
        <v>2987457995.25</v>
      </c>
      <c r="E17" s="457">
        <f t="shared" si="5"/>
        <v>0</v>
      </c>
      <c r="F17" s="457">
        <f t="shared" si="2"/>
        <v>2987457995.25</v>
      </c>
      <c r="G17" s="469">
        <f>SUM(G18:G20)</f>
        <v>0</v>
      </c>
      <c r="H17" s="133"/>
    </row>
    <row r="18" spans="2:8" ht="15.5" x14ac:dyDescent="0.35">
      <c r="B18" s="380" t="s">
        <v>777</v>
      </c>
      <c r="C18" s="381" t="s">
        <v>778</v>
      </c>
      <c r="D18" s="485">
        <v>2987457995.25</v>
      </c>
      <c r="E18" s="506"/>
      <c r="F18" s="463">
        <f t="shared" si="2"/>
        <v>2987457995.25</v>
      </c>
      <c r="G18" s="468"/>
      <c r="H18" s="133"/>
    </row>
    <row r="19" spans="2:8" ht="15.5" x14ac:dyDescent="0.35">
      <c r="B19" s="382" t="s">
        <v>779</v>
      </c>
      <c r="C19" s="379" t="s">
        <v>780</v>
      </c>
      <c r="D19" s="484"/>
      <c r="E19" s="505"/>
      <c r="F19" s="463">
        <f t="shared" si="2"/>
        <v>0</v>
      </c>
      <c r="G19" s="468"/>
      <c r="H19" s="133"/>
    </row>
    <row r="20" spans="2:8" ht="15.5" x14ac:dyDescent="0.35">
      <c r="B20" s="380" t="s">
        <v>781</v>
      </c>
      <c r="C20" s="380" t="s">
        <v>782</v>
      </c>
      <c r="D20" s="485"/>
      <c r="E20" s="506"/>
      <c r="F20" s="463">
        <f t="shared" si="2"/>
        <v>0</v>
      </c>
      <c r="G20" s="468"/>
      <c r="H20" s="133"/>
    </row>
    <row r="21" spans="2:8" ht="15.5" x14ac:dyDescent="0.35">
      <c r="B21" s="404" t="s">
        <v>783</v>
      </c>
      <c r="C21" s="405" t="s">
        <v>784</v>
      </c>
      <c r="D21" s="457">
        <f>SUM(D22:D23)</f>
        <v>782042288.10000002</v>
      </c>
      <c r="E21" s="457">
        <f t="shared" ref="E21" si="6">SUM(E22:E23)</f>
        <v>0</v>
      </c>
      <c r="F21" s="457">
        <f t="shared" si="2"/>
        <v>782042288.10000002</v>
      </c>
      <c r="G21" s="469">
        <f>SUM(G22:G23)</f>
        <v>0</v>
      </c>
      <c r="H21" s="133"/>
    </row>
    <row r="22" spans="2:8" ht="15.5" x14ac:dyDescent="0.35">
      <c r="B22" s="390">
        <v>1141</v>
      </c>
      <c r="C22" s="381" t="s">
        <v>785</v>
      </c>
      <c r="D22" s="485">
        <v>782042288.10000002</v>
      </c>
      <c r="E22" s="506"/>
      <c r="F22" s="463">
        <f>IF(D22&gt;=E22,D22-E22,D22-E22)</f>
        <v>782042288.10000002</v>
      </c>
      <c r="G22" s="468"/>
      <c r="H22" s="133"/>
    </row>
    <row r="23" spans="2:8" ht="15.5" x14ac:dyDescent="0.35">
      <c r="B23" s="378">
        <v>1142</v>
      </c>
      <c r="C23" s="379" t="s">
        <v>786</v>
      </c>
      <c r="D23" s="484"/>
      <c r="E23" s="505"/>
      <c r="F23" s="463">
        <f>IF(D23&gt;=E23,D23-E23,D23-E23)</f>
        <v>0</v>
      </c>
      <c r="G23" s="468"/>
      <c r="H23" s="133"/>
    </row>
    <row r="24" spans="2:8" ht="15.5" x14ac:dyDescent="0.35">
      <c r="B24" s="406" t="s">
        <v>787</v>
      </c>
      <c r="C24" s="407" t="s">
        <v>788</v>
      </c>
      <c r="D24" s="457">
        <f t="shared" ref="D24:E24" si="7">SUM(D25:D28)</f>
        <v>632923142.75999999</v>
      </c>
      <c r="E24" s="457">
        <f t="shared" si="7"/>
        <v>0</v>
      </c>
      <c r="F24" s="457">
        <f t="shared" si="2"/>
        <v>632923142.75999999</v>
      </c>
      <c r="G24" s="469">
        <f>SUM(G25:G28)</f>
        <v>0</v>
      </c>
      <c r="H24" s="133"/>
    </row>
    <row r="25" spans="2:8" ht="15.5" x14ac:dyDescent="0.35">
      <c r="B25" s="382" t="s">
        <v>789</v>
      </c>
      <c r="C25" s="379" t="s">
        <v>790</v>
      </c>
      <c r="D25" s="484">
        <v>632923142.75999999</v>
      </c>
      <c r="E25" s="505"/>
      <c r="F25" s="463">
        <f t="shared" si="2"/>
        <v>632923142.75999999</v>
      </c>
      <c r="G25" s="468"/>
      <c r="H25" s="133"/>
    </row>
    <row r="26" spans="2:8" ht="15.5" x14ac:dyDescent="0.35">
      <c r="B26" s="380" t="s">
        <v>791</v>
      </c>
      <c r="C26" s="381" t="s">
        <v>792</v>
      </c>
      <c r="D26" s="485"/>
      <c r="E26" s="506"/>
      <c r="F26" s="463">
        <f t="shared" si="2"/>
        <v>0</v>
      </c>
      <c r="G26" s="468"/>
      <c r="H26" s="133"/>
    </row>
    <row r="27" spans="2:8" ht="15.5" x14ac:dyDescent="0.35">
      <c r="B27" s="382" t="s">
        <v>793</v>
      </c>
      <c r="C27" s="379" t="s">
        <v>794</v>
      </c>
      <c r="D27" s="484"/>
      <c r="E27" s="505"/>
      <c r="F27" s="463">
        <f t="shared" si="2"/>
        <v>0</v>
      </c>
      <c r="G27" s="468"/>
      <c r="H27" s="133"/>
    </row>
    <row r="28" spans="2:8" ht="15.5" x14ac:dyDescent="0.35">
      <c r="B28" s="380" t="s">
        <v>795</v>
      </c>
      <c r="C28" s="381" t="s">
        <v>796</v>
      </c>
      <c r="D28" s="485"/>
      <c r="E28" s="506"/>
      <c r="F28" s="463">
        <f t="shared" si="2"/>
        <v>0</v>
      </c>
      <c r="G28" s="468"/>
      <c r="H28" s="133"/>
    </row>
    <row r="29" spans="2:8" ht="15.5" x14ac:dyDescent="0.35">
      <c r="B29" s="404" t="s">
        <v>797</v>
      </c>
      <c r="C29" s="405" t="s">
        <v>798</v>
      </c>
      <c r="D29" s="457">
        <f t="shared" ref="D29:E29" si="8">D30+D31</f>
        <v>0</v>
      </c>
      <c r="E29" s="457">
        <f t="shared" si="8"/>
        <v>0</v>
      </c>
      <c r="F29" s="457">
        <f t="shared" si="2"/>
        <v>0</v>
      </c>
      <c r="G29" s="469">
        <f>G30+G31</f>
        <v>0</v>
      </c>
      <c r="H29" s="133"/>
    </row>
    <row r="30" spans="2:8" ht="15.5" x14ac:dyDescent="0.35">
      <c r="B30" s="378">
        <v>1161</v>
      </c>
      <c r="C30" s="379" t="s">
        <v>799</v>
      </c>
      <c r="D30" s="484"/>
      <c r="E30" s="505"/>
      <c r="F30" s="463">
        <f t="shared" si="2"/>
        <v>0</v>
      </c>
      <c r="G30" s="468"/>
      <c r="H30" s="133"/>
    </row>
    <row r="31" spans="2:8" ht="15.5" x14ac:dyDescent="0.35">
      <c r="B31" s="378">
        <v>1162</v>
      </c>
      <c r="C31" s="379" t="s">
        <v>800</v>
      </c>
      <c r="D31" s="484"/>
      <c r="E31" s="505"/>
      <c r="F31" s="463">
        <f t="shared" si="2"/>
        <v>0</v>
      </c>
      <c r="G31" s="468"/>
      <c r="H31" s="133"/>
    </row>
    <row r="32" spans="2:8" ht="15.5" x14ac:dyDescent="0.35">
      <c r="B32" s="406" t="s">
        <v>801</v>
      </c>
      <c r="C32" s="407" t="s">
        <v>802</v>
      </c>
      <c r="D32" s="457">
        <f t="shared" ref="D32:E32" si="9">SUM(D33:D34)</f>
        <v>492983217.50999999</v>
      </c>
      <c r="E32" s="457">
        <f t="shared" si="9"/>
        <v>53258116.479999997</v>
      </c>
      <c r="F32" s="457">
        <f t="shared" si="2"/>
        <v>439725101.02999997</v>
      </c>
      <c r="G32" s="469">
        <f>SUM(G33:G34)</f>
        <v>0</v>
      </c>
      <c r="H32" s="133"/>
    </row>
    <row r="33" spans="2:8" ht="15.5" x14ac:dyDescent="0.35">
      <c r="B33" s="382" t="s">
        <v>803</v>
      </c>
      <c r="C33" s="379" t="s">
        <v>804</v>
      </c>
      <c r="D33" s="484">
        <v>492983217.50999999</v>
      </c>
      <c r="E33" s="505">
        <v>53258116.479999997</v>
      </c>
      <c r="F33" s="463">
        <f t="shared" si="2"/>
        <v>439725101.02999997</v>
      </c>
      <c r="G33" s="468"/>
      <c r="H33" s="133"/>
    </row>
    <row r="34" spans="2:8" ht="15.5" x14ac:dyDescent="0.35">
      <c r="B34" s="380" t="s">
        <v>805</v>
      </c>
      <c r="C34" s="381" t="s">
        <v>806</v>
      </c>
      <c r="D34" s="485"/>
      <c r="E34" s="506"/>
      <c r="F34" s="463">
        <f t="shared" si="2"/>
        <v>0</v>
      </c>
      <c r="G34" s="468"/>
      <c r="H34" s="133"/>
    </row>
    <row r="35" spans="2:8" ht="15.5" x14ac:dyDescent="0.35">
      <c r="B35" s="167" t="s">
        <v>807</v>
      </c>
      <c r="C35" s="168" t="s">
        <v>808</v>
      </c>
      <c r="D35" s="456">
        <f t="shared" ref="D35:E35" si="10">D36+D37+D38+D41+D42</f>
        <v>281877106.81</v>
      </c>
      <c r="E35" s="456">
        <f t="shared" si="10"/>
        <v>0</v>
      </c>
      <c r="F35" s="456">
        <f t="shared" si="2"/>
        <v>281877106.81</v>
      </c>
      <c r="G35" s="470">
        <f>G36+G37+G38+G41+G42</f>
        <v>0</v>
      </c>
      <c r="H35" s="133"/>
    </row>
    <row r="36" spans="2:8" ht="15.5" x14ac:dyDescent="0.35">
      <c r="B36" s="394" t="s">
        <v>809</v>
      </c>
      <c r="C36" s="383" t="s">
        <v>810</v>
      </c>
      <c r="D36" s="486"/>
      <c r="E36" s="507"/>
      <c r="F36" s="463">
        <f t="shared" si="2"/>
        <v>0</v>
      </c>
      <c r="G36" s="471"/>
      <c r="H36" s="133"/>
    </row>
    <row r="37" spans="2:8" ht="15.5" x14ac:dyDescent="0.35">
      <c r="B37" s="386">
        <v>122</v>
      </c>
      <c r="C37" s="383" t="s">
        <v>811</v>
      </c>
      <c r="D37" s="486">
        <v>133701288.98999999</v>
      </c>
      <c r="E37" s="507"/>
      <c r="F37" s="463">
        <f t="shared" si="2"/>
        <v>133701288.98999999</v>
      </c>
      <c r="G37" s="471"/>
      <c r="H37" s="133"/>
    </row>
    <row r="38" spans="2:8" ht="15.75" customHeight="1" x14ac:dyDescent="0.35">
      <c r="B38" s="404" t="s">
        <v>812</v>
      </c>
      <c r="C38" s="405" t="s">
        <v>813</v>
      </c>
      <c r="D38" s="457">
        <f t="shared" ref="D38:E38" si="11">SUM(D39:D40)</f>
        <v>4887501</v>
      </c>
      <c r="E38" s="457">
        <f t="shared" si="11"/>
        <v>0</v>
      </c>
      <c r="F38" s="457">
        <f t="shared" si="2"/>
        <v>4887501</v>
      </c>
      <c r="G38" s="469">
        <f>SUM(G39:G40)</f>
        <v>0</v>
      </c>
      <c r="H38" s="133"/>
    </row>
    <row r="39" spans="2:8" ht="15.75" customHeight="1" x14ac:dyDescent="0.35">
      <c r="B39" s="380" t="s">
        <v>814</v>
      </c>
      <c r="C39" s="381" t="s">
        <v>815</v>
      </c>
      <c r="D39" s="485"/>
      <c r="E39" s="506"/>
      <c r="F39" s="463">
        <f t="shared" si="2"/>
        <v>0</v>
      </c>
      <c r="G39" s="468"/>
      <c r="H39" s="133"/>
    </row>
    <row r="40" spans="2:8" ht="15.75" customHeight="1" x14ac:dyDescent="0.35">
      <c r="B40" s="382" t="s">
        <v>816</v>
      </c>
      <c r="C40" s="379" t="s">
        <v>817</v>
      </c>
      <c r="D40" s="484">
        <v>4887501</v>
      </c>
      <c r="E40" s="505"/>
      <c r="F40" s="463">
        <f t="shared" si="2"/>
        <v>4887501</v>
      </c>
      <c r="G40" s="468"/>
      <c r="H40" s="133"/>
    </row>
    <row r="41" spans="2:8" ht="15.75" customHeight="1" x14ac:dyDescent="0.35">
      <c r="B41" s="386">
        <v>124</v>
      </c>
      <c r="C41" s="389" t="s">
        <v>818</v>
      </c>
      <c r="D41" s="487"/>
      <c r="E41" s="508"/>
      <c r="F41" s="463">
        <f t="shared" si="2"/>
        <v>0</v>
      </c>
      <c r="G41" s="471"/>
      <c r="H41" s="133"/>
    </row>
    <row r="42" spans="2:8" ht="15.75" customHeight="1" x14ac:dyDescent="0.35">
      <c r="B42" s="386">
        <v>129</v>
      </c>
      <c r="C42" s="389" t="s">
        <v>819</v>
      </c>
      <c r="D42" s="487">
        <v>143288316.81999999</v>
      </c>
      <c r="E42" s="508"/>
      <c r="F42" s="463">
        <f t="shared" si="2"/>
        <v>143288316.81999999</v>
      </c>
      <c r="G42" s="471"/>
      <c r="H42" s="133"/>
    </row>
    <row r="43" spans="2:8" ht="15.5" x14ac:dyDescent="0.35">
      <c r="B43" s="165" t="s">
        <v>820</v>
      </c>
      <c r="C43" s="166" t="s">
        <v>821</v>
      </c>
      <c r="D43" s="456">
        <f t="shared" ref="D43:E43" si="12">D44+D49+D54</f>
        <v>0</v>
      </c>
      <c r="E43" s="456">
        <f t="shared" si="12"/>
        <v>0</v>
      </c>
      <c r="F43" s="456">
        <f t="shared" si="2"/>
        <v>0</v>
      </c>
      <c r="G43" s="470">
        <f>SUM(G44:G54)</f>
        <v>0</v>
      </c>
      <c r="H43" s="133"/>
    </row>
    <row r="44" spans="2:8" ht="15.5" x14ac:dyDescent="0.35">
      <c r="B44" s="408">
        <v>131</v>
      </c>
      <c r="C44" s="407" t="s">
        <v>822</v>
      </c>
      <c r="D44" s="457">
        <f t="shared" ref="D44:E44" si="13">SUM(D45:D48)</f>
        <v>0</v>
      </c>
      <c r="E44" s="457">
        <f t="shared" si="13"/>
        <v>0</v>
      </c>
      <c r="F44" s="457">
        <f t="shared" si="2"/>
        <v>0</v>
      </c>
      <c r="G44" s="469">
        <f>SUM(G45:G48)</f>
        <v>0</v>
      </c>
      <c r="H44" s="133"/>
    </row>
    <row r="45" spans="2:8" ht="15.5" x14ac:dyDescent="0.35">
      <c r="B45" s="378">
        <v>1311</v>
      </c>
      <c r="C45" s="383" t="s">
        <v>823</v>
      </c>
      <c r="D45" s="486"/>
      <c r="E45" s="507"/>
      <c r="F45" s="463">
        <f t="shared" si="2"/>
        <v>0</v>
      </c>
      <c r="G45" s="472"/>
      <c r="H45" s="133"/>
    </row>
    <row r="46" spans="2:8" ht="15.5" x14ac:dyDescent="0.35">
      <c r="B46" s="378">
        <v>1312</v>
      </c>
      <c r="C46" s="383" t="s">
        <v>824</v>
      </c>
      <c r="D46" s="486"/>
      <c r="E46" s="507"/>
      <c r="F46" s="463">
        <f t="shared" si="2"/>
        <v>0</v>
      </c>
      <c r="G46" s="472"/>
      <c r="H46" s="133"/>
    </row>
    <row r="47" spans="2:8" ht="15.5" x14ac:dyDescent="0.35">
      <c r="B47" s="378">
        <v>1313</v>
      </c>
      <c r="C47" s="383" t="s">
        <v>825</v>
      </c>
      <c r="D47" s="486"/>
      <c r="E47" s="507"/>
      <c r="F47" s="463">
        <f t="shared" si="2"/>
        <v>0</v>
      </c>
      <c r="G47" s="472"/>
      <c r="H47" s="133"/>
    </row>
    <row r="48" spans="2:8" ht="15.5" x14ac:dyDescent="0.35">
      <c r="B48" s="378">
        <v>1314</v>
      </c>
      <c r="C48" s="383" t="s">
        <v>826</v>
      </c>
      <c r="D48" s="486"/>
      <c r="E48" s="507"/>
      <c r="F48" s="463">
        <f t="shared" si="2"/>
        <v>0</v>
      </c>
      <c r="G48" s="472"/>
      <c r="H48" s="133"/>
    </row>
    <row r="49" spans="2:8" ht="15.5" x14ac:dyDescent="0.35">
      <c r="B49" s="408">
        <v>132</v>
      </c>
      <c r="C49" s="407" t="s">
        <v>827</v>
      </c>
      <c r="D49" s="457">
        <f t="shared" ref="D49:E49" si="14">SUM(D50:D53)</f>
        <v>0</v>
      </c>
      <c r="E49" s="457">
        <f t="shared" si="14"/>
        <v>0</v>
      </c>
      <c r="F49" s="457">
        <f t="shared" si="2"/>
        <v>0</v>
      </c>
      <c r="G49" s="469">
        <f>SUM(G50:G53)</f>
        <v>0</v>
      </c>
      <c r="H49" s="133"/>
    </row>
    <row r="50" spans="2:8" ht="15.5" x14ac:dyDescent="0.35">
      <c r="B50" s="378">
        <v>1321</v>
      </c>
      <c r="C50" s="383" t="s">
        <v>823</v>
      </c>
      <c r="D50" s="486"/>
      <c r="E50" s="507"/>
      <c r="F50" s="463">
        <f t="shared" si="2"/>
        <v>0</v>
      </c>
      <c r="G50" s="471"/>
      <c r="H50" s="133"/>
    </row>
    <row r="51" spans="2:8" ht="15.5" x14ac:dyDescent="0.35">
      <c r="B51" s="378">
        <v>1322</v>
      </c>
      <c r="C51" s="383" t="s">
        <v>824</v>
      </c>
      <c r="D51" s="486"/>
      <c r="E51" s="507"/>
      <c r="F51" s="463">
        <f t="shared" si="2"/>
        <v>0</v>
      </c>
      <c r="G51" s="471"/>
      <c r="H51" s="133"/>
    </row>
    <row r="52" spans="2:8" ht="15.5" x14ac:dyDescent="0.35">
      <c r="B52" s="378">
        <v>1323</v>
      </c>
      <c r="C52" s="383" t="s">
        <v>825</v>
      </c>
      <c r="D52" s="486"/>
      <c r="E52" s="507"/>
      <c r="F52" s="463">
        <f t="shared" si="2"/>
        <v>0</v>
      </c>
      <c r="G52" s="471"/>
      <c r="H52" s="133"/>
    </row>
    <row r="53" spans="2:8" ht="15.5" x14ac:dyDescent="0.35">
      <c r="B53" s="378">
        <v>1324</v>
      </c>
      <c r="C53" s="383" t="s">
        <v>826</v>
      </c>
      <c r="D53" s="486"/>
      <c r="E53" s="507"/>
      <c r="F53" s="463">
        <f t="shared" si="2"/>
        <v>0</v>
      </c>
      <c r="G53" s="471"/>
      <c r="H53" s="133"/>
    </row>
    <row r="54" spans="2:8" ht="15.5" x14ac:dyDescent="0.35">
      <c r="B54" s="408">
        <v>133</v>
      </c>
      <c r="C54" s="407" t="s">
        <v>828</v>
      </c>
      <c r="D54" s="457">
        <f t="shared" ref="D54:E54" si="15">SUM(D55:D59)</f>
        <v>0</v>
      </c>
      <c r="E54" s="457">
        <f t="shared" si="15"/>
        <v>0</v>
      </c>
      <c r="F54" s="457">
        <f t="shared" si="2"/>
        <v>0</v>
      </c>
      <c r="G54" s="469">
        <f>SUM(G55:G59)</f>
        <v>0</v>
      </c>
      <c r="H54" s="133"/>
    </row>
    <row r="55" spans="2:8" ht="15.5" x14ac:dyDescent="0.35">
      <c r="B55" s="386">
        <v>1331</v>
      </c>
      <c r="C55" s="383" t="s">
        <v>829</v>
      </c>
      <c r="D55" s="486"/>
      <c r="E55" s="507"/>
      <c r="F55" s="463">
        <f t="shared" si="2"/>
        <v>0</v>
      </c>
      <c r="G55" s="471"/>
      <c r="H55" s="133"/>
    </row>
    <row r="56" spans="2:8" ht="15.5" x14ac:dyDescent="0.35">
      <c r="B56" s="386">
        <v>1332</v>
      </c>
      <c r="C56" s="383" t="s">
        <v>830</v>
      </c>
      <c r="D56" s="486"/>
      <c r="E56" s="507"/>
      <c r="F56" s="463">
        <f t="shared" si="2"/>
        <v>0</v>
      </c>
      <c r="G56" s="471"/>
      <c r="H56" s="133"/>
    </row>
    <row r="57" spans="2:8" ht="15.5" x14ac:dyDescent="0.35">
      <c r="B57" s="386">
        <v>1333</v>
      </c>
      <c r="C57" s="383" t="s">
        <v>831</v>
      </c>
      <c r="D57" s="486"/>
      <c r="E57" s="507"/>
      <c r="F57" s="463">
        <f t="shared" si="2"/>
        <v>0</v>
      </c>
      <c r="G57" s="471"/>
      <c r="H57" s="133"/>
    </row>
    <row r="58" spans="2:8" ht="15.5" x14ac:dyDescent="0.35">
      <c r="B58" s="378">
        <v>1334</v>
      </c>
      <c r="C58" s="383" t="s">
        <v>828</v>
      </c>
      <c r="D58" s="486"/>
      <c r="E58" s="507"/>
      <c r="F58" s="463">
        <f t="shared" si="2"/>
        <v>0</v>
      </c>
      <c r="G58" s="471"/>
      <c r="H58" s="133"/>
    </row>
    <row r="59" spans="2:8" ht="15.5" x14ac:dyDescent="0.35">
      <c r="B59" s="378">
        <v>1335</v>
      </c>
      <c r="C59" s="383" t="s">
        <v>832</v>
      </c>
      <c r="D59" s="486"/>
      <c r="E59" s="507"/>
      <c r="F59" s="463">
        <f t="shared" si="2"/>
        <v>0</v>
      </c>
      <c r="G59" s="471"/>
      <c r="H59" s="133"/>
    </row>
    <row r="60" spans="2:8" ht="15.5" x14ac:dyDescent="0.35">
      <c r="B60" s="170">
        <v>14</v>
      </c>
      <c r="C60" s="166" t="s">
        <v>833</v>
      </c>
      <c r="D60" s="456">
        <f t="shared" ref="D60:E60" si="16">D61+SUM(D65:D67)</f>
        <v>0</v>
      </c>
      <c r="E60" s="456">
        <f t="shared" si="16"/>
        <v>0</v>
      </c>
      <c r="F60" s="456">
        <f t="shared" si="2"/>
        <v>0</v>
      </c>
      <c r="G60" s="470">
        <f>SUM(G62:G67)</f>
        <v>0</v>
      </c>
      <c r="H60" s="133"/>
    </row>
    <row r="61" spans="2:8" ht="15.5" x14ac:dyDescent="0.35">
      <c r="B61" s="408">
        <v>141</v>
      </c>
      <c r="C61" s="407" t="s">
        <v>834</v>
      </c>
      <c r="D61" s="457">
        <f t="shared" ref="D61:E61" si="17">SUM(D62:D64)</f>
        <v>0</v>
      </c>
      <c r="E61" s="457">
        <f t="shared" si="17"/>
        <v>0</v>
      </c>
      <c r="F61" s="457">
        <f t="shared" si="2"/>
        <v>0</v>
      </c>
      <c r="G61" s="469">
        <f>SUM(G62:G64)</f>
        <v>0</v>
      </c>
      <c r="H61" s="133"/>
    </row>
    <row r="62" spans="2:8" ht="15.5" x14ac:dyDescent="0.35">
      <c r="B62" s="386">
        <v>1411</v>
      </c>
      <c r="C62" s="383" t="s">
        <v>834</v>
      </c>
      <c r="D62" s="486"/>
      <c r="E62" s="507"/>
      <c r="F62" s="463">
        <f t="shared" si="2"/>
        <v>0</v>
      </c>
      <c r="G62" s="473"/>
      <c r="H62" s="133"/>
    </row>
    <row r="63" spans="2:8" ht="15.5" x14ac:dyDescent="0.35">
      <c r="B63" s="386">
        <v>1412</v>
      </c>
      <c r="C63" s="383" t="s">
        <v>835</v>
      </c>
      <c r="D63" s="486"/>
      <c r="E63" s="507"/>
      <c r="F63" s="463">
        <f t="shared" si="2"/>
        <v>0</v>
      </c>
      <c r="G63" s="473"/>
      <c r="H63" s="133"/>
    </row>
    <row r="64" spans="2:8" ht="15.5" x14ac:dyDescent="0.35">
      <c r="B64" s="386">
        <v>1413</v>
      </c>
      <c r="C64" s="383" t="s">
        <v>834</v>
      </c>
      <c r="D64" s="486"/>
      <c r="E64" s="507"/>
      <c r="F64" s="463">
        <f t="shared" si="2"/>
        <v>0</v>
      </c>
      <c r="G64" s="473"/>
      <c r="H64" s="133"/>
    </row>
    <row r="65" spans="2:8" ht="15.5" x14ac:dyDescent="0.35">
      <c r="B65" s="384">
        <v>147</v>
      </c>
      <c r="C65" s="392" t="s">
        <v>836</v>
      </c>
      <c r="D65" s="488"/>
      <c r="E65" s="509"/>
      <c r="F65" s="463">
        <f t="shared" si="2"/>
        <v>0</v>
      </c>
      <c r="G65" s="473"/>
      <c r="H65" s="133"/>
    </row>
    <row r="66" spans="2:8" ht="15.5" x14ac:dyDescent="0.35">
      <c r="B66" s="384">
        <v>148</v>
      </c>
      <c r="C66" s="392" t="s">
        <v>837</v>
      </c>
      <c r="D66" s="488"/>
      <c r="E66" s="509"/>
      <c r="F66" s="463">
        <f t="shared" si="2"/>
        <v>0</v>
      </c>
      <c r="G66" s="473"/>
      <c r="H66" s="133"/>
    </row>
    <row r="67" spans="2:8" ht="15.5" x14ac:dyDescent="0.35">
      <c r="B67" s="384">
        <v>149</v>
      </c>
      <c r="C67" s="392" t="s">
        <v>832</v>
      </c>
      <c r="D67" s="488"/>
      <c r="E67" s="509"/>
      <c r="F67" s="463">
        <f t="shared" si="2"/>
        <v>0</v>
      </c>
      <c r="G67" s="473"/>
      <c r="H67" s="133"/>
    </row>
    <row r="68" spans="2:8" ht="15.5" x14ac:dyDescent="0.35">
      <c r="B68" s="167" t="s">
        <v>838</v>
      </c>
      <c r="C68" s="168" t="s">
        <v>839</v>
      </c>
      <c r="D68" s="456">
        <f t="shared" ref="D68:E68" si="18">D69+D77+D83</f>
        <v>53258116.479999997</v>
      </c>
      <c r="E68" s="456">
        <f t="shared" si="18"/>
        <v>6129816185.5600004</v>
      </c>
      <c r="F68" s="456">
        <f t="shared" si="2"/>
        <v>-6076558069.0800009</v>
      </c>
      <c r="G68" s="470">
        <f>G69+G77+G83</f>
        <v>0</v>
      </c>
      <c r="H68" s="133"/>
    </row>
    <row r="69" spans="2:8" ht="15.5" x14ac:dyDescent="0.35">
      <c r="B69" s="406" t="s">
        <v>840</v>
      </c>
      <c r="C69" s="407" t="s">
        <v>29</v>
      </c>
      <c r="D69" s="457">
        <f t="shared" ref="D69:E69" si="19">SUM(D70:D76)</f>
        <v>53258116.479999997</v>
      </c>
      <c r="E69" s="457">
        <f t="shared" si="19"/>
        <v>5869015968.0300007</v>
      </c>
      <c r="F69" s="457">
        <f t="shared" si="2"/>
        <v>-5815757851.5500011</v>
      </c>
      <c r="G69" s="469">
        <f>SUM(G70:G76)</f>
        <v>0</v>
      </c>
      <c r="H69" s="133"/>
    </row>
    <row r="70" spans="2:8" ht="15.5" x14ac:dyDescent="0.35">
      <c r="B70" s="378">
        <v>1811</v>
      </c>
      <c r="C70" s="381" t="s">
        <v>763</v>
      </c>
      <c r="D70" s="485">
        <v>0</v>
      </c>
      <c r="E70" s="506"/>
      <c r="F70" s="463">
        <f t="shared" si="2"/>
        <v>0</v>
      </c>
      <c r="G70" s="468"/>
      <c r="H70" s="133"/>
    </row>
    <row r="71" spans="2:8" ht="15.5" x14ac:dyDescent="0.35">
      <c r="B71" s="382" t="s">
        <v>841</v>
      </c>
      <c r="C71" s="379" t="s">
        <v>770</v>
      </c>
      <c r="D71" s="484">
        <v>0</v>
      </c>
      <c r="E71" s="505">
        <v>1705255411.52</v>
      </c>
      <c r="F71" s="463">
        <f t="shared" ref="F71:F134" si="20">IF(D71&gt;=E71,D71-E71,D71-E71)</f>
        <v>-1705255411.52</v>
      </c>
      <c r="G71" s="468"/>
      <c r="H71" s="133"/>
    </row>
    <row r="72" spans="2:8" ht="15.5" x14ac:dyDescent="0.35">
      <c r="B72" s="380" t="s">
        <v>842</v>
      </c>
      <c r="C72" s="381" t="s">
        <v>776</v>
      </c>
      <c r="D72" s="485">
        <v>0</v>
      </c>
      <c r="E72" s="506">
        <v>2512659474.48</v>
      </c>
      <c r="F72" s="463">
        <f t="shared" si="20"/>
        <v>-2512659474.48</v>
      </c>
      <c r="G72" s="468"/>
      <c r="H72" s="133"/>
    </row>
    <row r="73" spans="2:8" ht="15.5" x14ac:dyDescent="0.35">
      <c r="B73" s="382" t="s">
        <v>843</v>
      </c>
      <c r="C73" s="379" t="s">
        <v>784</v>
      </c>
      <c r="D73" s="484">
        <v>0</v>
      </c>
      <c r="E73" s="505">
        <v>618762919.22000003</v>
      </c>
      <c r="F73" s="463">
        <f t="shared" si="20"/>
        <v>-618762919.22000003</v>
      </c>
      <c r="G73" s="468"/>
      <c r="H73" s="133"/>
    </row>
    <row r="74" spans="2:8" ht="15.5" x14ac:dyDescent="0.35">
      <c r="B74" s="380" t="s">
        <v>844</v>
      </c>
      <c r="C74" s="381" t="s">
        <v>788</v>
      </c>
      <c r="D74" s="485">
        <v>0</v>
      </c>
      <c r="E74" s="506">
        <v>543147015.55999994</v>
      </c>
      <c r="F74" s="463">
        <f t="shared" si="20"/>
        <v>-543147015.55999994</v>
      </c>
      <c r="G74" s="468"/>
      <c r="H74" s="133"/>
    </row>
    <row r="75" spans="2:8" ht="15.5" x14ac:dyDescent="0.35">
      <c r="B75" s="382" t="s">
        <v>845</v>
      </c>
      <c r="C75" s="379" t="s">
        <v>798</v>
      </c>
      <c r="D75" s="484"/>
      <c r="E75" s="505"/>
      <c r="F75" s="463">
        <f t="shared" si="20"/>
        <v>0</v>
      </c>
      <c r="G75" s="468"/>
      <c r="H75" s="133"/>
    </row>
    <row r="76" spans="2:8" ht="15.5" x14ac:dyDescent="0.35">
      <c r="B76" s="380" t="s">
        <v>846</v>
      </c>
      <c r="C76" s="381" t="s">
        <v>802</v>
      </c>
      <c r="D76" s="485">
        <v>53258116.479999997</v>
      </c>
      <c r="E76" s="506">
        <v>489191147.25</v>
      </c>
      <c r="F76" s="463">
        <f t="shared" si="20"/>
        <v>-435933030.76999998</v>
      </c>
      <c r="G76" s="468"/>
      <c r="H76" s="133"/>
    </row>
    <row r="77" spans="2:8" s="150" customFormat="1" ht="15.5" x14ac:dyDescent="0.35">
      <c r="B77" s="404" t="s">
        <v>847</v>
      </c>
      <c r="C77" s="405" t="s">
        <v>63</v>
      </c>
      <c r="D77" s="457">
        <f t="shared" ref="D77" si="21">-SUM(D78:D82)</f>
        <v>0</v>
      </c>
      <c r="E77" s="457">
        <f xml:space="preserve"> SUM(E78:E82)</f>
        <v>260800217.52999997</v>
      </c>
      <c r="F77" s="457">
        <f t="shared" si="20"/>
        <v>-260800217.52999997</v>
      </c>
      <c r="G77" s="469">
        <f>SUM(G78:G82)</f>
        <v>0</v>
      </c>
      <c r="H77" s="604"/>
    </row>
    <row r="78" spans="2:8" ht="15.5" x14ac:dyDescent="0.35">
      <c r="B78" s="378">
        <v>1821</v>
      </c>
      <c r="C78" s="379" t="s">
        <v>810</v>
      </c>
      <c r="D78" s="484">
        <v>0</v>
      </c>
      <c r="E78" s="505"/>
      <c r="F78" s="463">
        <f t="shared" si="20"/>
        <v>0</v>
      </c>
      <c r="G78" s="468"/>
      <c r="H78" s="133"/>
    </row>
    <row r="79" spans="2:8" ht="15.5" x14ac:dyDescent="0.35">
      <c r="B79" s="378">
        <v>1822</v>
      </c>
      <c r="C79" s="379" t="s">
        <v>811</v>
      </c>
      <c r="D79" s="484">
        <v>0</v>
      </c>
      <c r="E79" s="505">
        <v>133701288.98999999</v>
      </c>
      <c r="F79" s="463">
        <f t="shared" si="20"/>
        <v>-133701288.98999999</v>
      </c>
      <c r="G79" s="468"/>
      <c r="H79" s="133"/>
    </row>
    <row r="80" spans="2:8" ht="15.5" x14ac:dyDescent="0.35">
      <c r="B80" s="378">
        <v>1823</v>
      </c>
      <c r="C80" s="381" t="s">
        <v>813</v>
      </c>
      <c r="D80" s="485">
        <v>0</v>
      </c>
      <c r="E80" s="506">
        <v>2742431.12</v>
      </c>
      <c r="F80" s="463">
        <f t="shared" si="20"/>
        <v>-2742431.12</v>
      </c>
      <c r="G80" s="468"/>
      <c r="H80" s="133"/>
    </row>
    <row r="81" spans="2:8" ht="15.5" x14ac:dyDescent="0.35">
      <c r="B81" s="378">
        <v>1824</v>
      </c>
      <c r="C81" s="379" t="s">
        <v>818</v>
      </c>
      <c r="D81" s="484">
        <v>0</v>
      </c>
      <c r="E81" s="505"/>
      <c r="F81" s="463">
        <f t="shared" si="20"/>
        <v>0</v>
      </c>
      <c r="G81" s="468"/>
      <c r="H81" s="133"/>
    </row>
    <row r="82" spans="2:8" ht="15.5" x14ac:dyDescent="0.35">
      <c r="B82" s="378">
        <v>1829</v>
      </c>
      <c r="C82" s="379" t="s">
        <v>819</v>
      </c>
      <c r="D82" s="484">
        <v>0</v>
      </c>
      <c r="E82" s="505">
        <v>124356497.42</v>
      </c>
      <c r="F82" s="463">
        <f t="shared" si="20"/>
        <v>-124356497.42</v>
      </c>
      <c r="G82" s="468"/>
      <c r="H82" s="133"/>
    </row>
    <row r="83" spans="2:8" ht="15.5" x14ac:dyDescent="0.35">
      <c r="B83" s="409">
        <v>183</v>
      </c>
      <c r="C83" s="407" t="s">
        <v>848</v>
      </c>
      <c r="D83" s="459">
        <f t="shared" ref="D83:E83" si="22">D84+D85</f>
        <v>0</v>
      </c>
      <c r="E83" s="459">
        <f t="shared" si="22"/>
        <v>0</v>
      </c>
      <c r="F83" s="457">
        <f t="shared" si="20"/>
        <v>0</v>
      </c>
      <c r="G83" s="467">
        <f>G84+G85</f>
        <v>0</v>
      </c>
      <c r="H83" s="133"/>
    </row>
    <row r="84" spans="2:8" ht="15.5" x14ac:dyDescent="0.35">
      <c r="B84" s="378">
        <v>1831</v>
      </c>
      <c r="C84" s="381" t="s">
        <v>763</v>
      </c>
      <c r="D84" s="485"/>
      <c r="E84" s="506"/>
      <c r="F84" s="463">
        <f t="shared" si="20"/>
        <v>0</v>
      </c>
      <c r="G84" s="468"/>
      <c r="H84" s="133"/>
    </row>
    <row r="85" spans="2:8" ht="15.5" x14ac:dyDescent="0.35">
      <c r="B85" s="378">
        <v>1832</v>
      </c>
      <c r="C85" s="381" t="s">
        <v>849</v>
      </c>
      <c r="D85" s="485"/>
      <c r="E85" s="506"/>
      <c r="F85" s="463">
        <f t="shared" si="20"/>
        <v>0</v>
      </c>
      <c r="G85" s="468"/>
      <c r="H85" s="133"/>
    </row>
    <row r="86" spans="2:8" ht="15.5" x14ac:dyDescent="0.35">
      <c r="B86" s="170">
        <v>19</v>
      </c>
      <c r="C86" s="166" t="s">
        <v>134</v>
      </c>
      <c r="D86" s="456">
        <f t="shared" ref="D86:E86" si="23">SUM(D87:D91)</f>
        <v>0</v>
      </c>
      <c r="E86" s="456">
        <f t="shared" si="23"/>
        <v>0</v>
      </c>
      <c r="F86" s="456">
        <f t="shared" si="20"/>
        <v>0</v>
      </c>
      <c r="G86" s="470">
        <f>SUM(G87:G91)</f>
        <v>0</v>
      </c>
      <c r="H86" s="133"/>
    </row>
    <row r="87" spans="2:8" ht="15.5" x14ac:dyDescent="0.35">
      <c r="B87" s="384">
        <v>191</v>
      </c>
      <c r="C87" s="392" t="s">
        <v>822</v>
      </c>
      <c r="D87" s="488"/>
      <c r="E87" s="509"/>
      <c r="F87" s="463">
        <f t="shared" si="20"/>
        <v>0</v>
      </c>
      <c r="G87" s="473"/>
      <c r="H87" s="133"/>
    </row>
    <row r="88" spans="2:8" ht="15.5" x14ac:dyDescent="0.35">
      <c r="B88" s="384">
        <v>192</v>
      </c>
      <c r="C88" s="392" t="s">
        <v>827</v>
      </c>
      <c r="D88" s="488"/>
      <c r="E88" s="509"/>
      <c r="F88" s="463">
        <f t="shared" si="20"/>
        <v>0</v>
      </c>
      <c r="G88" s="473"/>
      <c r="H88" s="133"/>
    </row>
    <row r="89" spans="2:8" ht="15.5" x14ac:dyDescent="0.35">
      <c r="B89" s="384">
        <v>193</v>
      </c>
      <c r="C89" s="392" t="s">
        <v>850</v>
      </c>
      <c r="D89" s="488"/>
      <c r="E89" s="509"/>
      <c r="F89" s="463">
        <f t="shared" si="20"/>
        <v>0</v>
      </c>
      <c r="G89" s="473"/>
      <c r="H89" s="133"/>
    </row>
    <row r="90" spans="2:8" ht="15.5" x14ac:dyDescent="0.35">
      <c r="B90" s="384">
        <v>194</v>
      </c>
      <c r="C90" s="392" t="s">
        <v>831</v>
      </c>
      <c r="D90" s="488"/>
      <c r="E90" s="509"/>
      <c r="F90" s="463">
        <f t="shared" si="20"/>
        <v>0</v>
      </c>
      <c r="G90" s="473"/>
      <c r="H90" s="133"/>
    </row>
    <row r="91" spans="2:8" ht="15.5" x14ac:dyDescent="0.35">
      <c r="B91" s="384">
        <v>199</v>
      </c>
      <c r="C91" s="392" t="s">
        <v>828</v>
      </c>
      <c r="D91" s="488"/>
      <c r="E91" s="509"/>
      <c r="F91" s="463">
        <f t="shared" si="20"/>
        <v>0</v>
      </c>
      <c r="G91" s="473"/>
      <c r="H91" s="133"/>
    </row>
    <row r="92" spans="2:8" ht="15.5" x14ac:dyDescent="0.35">
      <c r="B92" s="171" t="s">
        <v>851</v>
      </c>
      <c r="C92" s="172" t="s">
        <v>154</v>
      </c>
      <c r="D92" s="455">
        <f t="shared" ref="D92:E92" si="24">D93+D99+D105+D108+D112+D115+D119+D123+D126</f>
        <v>0</v>
      </c>
      <c r="E92" s="455">
        <f t="shared" si="24"/>
        <v>0</v>
      </c>
      <c r="F92" s="455">
        <f t="shared" si="20"/>
        <v>0</v>
      </c>
      <c r="G92" s="474">
        <f>G93+G99+G105+G108+G112+G115+G119+G123-G126</f>
        <v>0</v>
      </c>
      <c r="H92" s="133"/>
    </row>
    <row r="93" spans="2:8" ht="15.5" x14ac:dyDescent="0.35">
      <c r="B93" s="165" t="s">
        <v>852</v>
      </c>
      <c r="C93" s="166" t="s">
        <v>853</v>
      </c>
      <c r="D93" s="456">
        <f t="shared" ref="D93:E93" si="25">SUM(D94:D98)</f>
        <v>0</v>
      </c>
      <c r="E93" s="456">
        <f t="shared" si="25"/>
        <v>0</v>
      </c>
      <c r="F93" s="456">
        <f t="shared" si="20"/>
        <v>0</v>
      </c>
      <c r="G93" s="470">
        <f>SUM(G94:G98)</f>
        <v>0</v>
      </c>
      <c r="H93" s="133"/>
    </row>
    <row r="94" spans="2:8" ht="15.5" x14ac:dyDescent="0.35">
      <c r="B94" s="395" t="s">
        <v>854</v>
      </c>
      <c r="C94" s="393" t="s">
        <v>855</v>
      </c>
      <c r="D94" s="489"/>
      <c r="E94" s="510"/>
      <c r="F94" s="463">
        <f t="shared" si="20"/>
        <v>0</v>
      </c>
      <c r="G94" s="473"/>
      <c r="H94" s="133"/>
    </row>
    <row r="95" spans="2:8" ht="15.5" x14ac:dyDescent="0.35">
      <c r="B95" s="395" t="s">
        <v>856</v>
      </c>
      <c r="C95" s="393" t="s">
        <v>857</v>
      </c>
      <c r="D95" s="489"/>
      <c r="E95" s="510"/>
      <c r="F95" s="463">
        <f t="shared" si="20"/>
        <v>0</v>
      </c>
      <c r="G95" s="473"/>
      <c r="H95" s="133"/>
    </row>
    <row r="96" spans="2:8" ht="15.5" x14ac:dyDescent="0.35">
      <c r="B96" s="396">
        <v>217</v>
      </c>
      <c r="C96" s="392" t="s">
        <v>858</v>
      </c>
      <c r="D96" s="488"/>
      <c r="E96" s="509"/>
      <c r="F96" s="463">
        <f t="shared" si="20"/>
        <v>0</v>
      </c>
      <c r="G96" s="473"/>
      <c r="H96" s="133"/>
    </row>
    <row r="97" spans="2:8" ht="15.5" x14ac:dyDescent="0.35">
      <c r="B97" s="384">
        <v>218</v>
      </c>
      <c r="C97" s="392" t="s">
        <v>859</v>
      </c>
      <c r="D97" s="488"/>
      <c r="E97" s="509"/>
      <c r="F97" s="463">
        <f t="shared" si="20"/>
        <v>0</v>
      </c>
      <c r="G97" s="473"/>
      <c r="H97" s="133"/>
    </row>
    <row r="98" spans="2:8" ht="15.5" x14ac:dyDescent="0.35">
      <c r="B98" s="384">
        <v>215</v>
      </c>
      <c r="C98" s="392" t="s">
        <v>860</v>
      </c>
      <c r="D98" s="488"/>
      <c r="E98" s="509"/>
      <c r="F98" s="463">
        <f t="shared" si="20"/>
        <v>0</v>
      </c>
      <c r="G98" s="473"/>
      <c r="H98" s="133"/>
    </row>
    <row r="99" spans="2:8" ht="19.5" customHeight="1" x14ac:dyDescent="0.35">
      <c r="B99" s="167" t="s">
        <v>861</v>
      </c>
      <c r="C99" s="173" t="s">
        <v>862</v>
      </c>
      <c r="D99" s="456">
        <f t="shared" ref="D99:E99" si="26">SUM(D100:D104)</f>
        <v>0</v>
      </c>
      <c r="E99" s="456">
        <f t="shared" si="26"/>
        <v>0</v>
      </c>
      <c r="F99" s="456">
        <f t="shared" si="20"/>
        <v>0</v>
      </c>
      <c r="G99" s="470">
        <f>SUM(G100:G104)</f>
        <v>0</v>
      </c>
      <c r="H99" s="133"/>
    </row>
    <row r="100" spans="2:8" ht="15.5" x14ac:dyDescent="0.35">
      <c r="B100" s="391" t="s">
        <v>863</v>
      </c>
      <c r="C100" s="392" t="s">
        <v>864</v>
      </c>
      <c r="D100" s="488"/>
      <c r="E100" s="509"/>
      <c r="F100" s="463">
        <f t="shared" si="20"/>
        <v>0</v>
      </c>
      <c r="G100" s="473"/>
      <c r="H100" s="133"/>
    </row>
    <row r="101" spans="2:8" ht="15.5" x14ac:dyDescent="0.35">
      <c r="B101" s="391" t="s">
        <v>865</v>
      </c>
      <c r="C101" s="392" t="s">
        <v>866</v>
      </c>
      <c r="D101" s="488"/>
      <c r="E101" s="509"/>
      <c r="F101" s="463">
        <f t="shared" si="20"/>
        <v>0</v>
      </c>
      <c r="G101" s="473"/>
      <c r="H101" s="133"/>
    </row>
    <row r="102" spans="2:8" ht="15.5" x14ac:dyDescent="0.35">
      <c r="B102" s="395" t="s">
        <v>867</v>
      </c>
      <c r="C102" s="393" t="s">
        <v>868</v>
      </c>
      <c r="D102" s="489"/>
      <c r="E102" s="510"/>
      <c r="F102" s="463">
        <f t="shared" si="20"/>
        <v>0</v>
      </c>
      <c r="G102" s="473"/>
      <c r="H102" s="133"/>
    </row>
    <row r="103" spans="2:8" ht="15.5" x14ac:dyDescent="0.35">
      <c r="B103" s="396">
        <v>224</v>
      </c>
      <c r="C103" s="392" t="s">
        <v>869</v>
      </c>
      <c r="D103" s="488"/>
      <c r="E103" s="509"/>
      <c r="F103" s="463">
        <f t="shared" si="20"/>
        <v>0</v>
      </c>
      <c r="G103" s="471"/>
      <c r="H103" s="133"/>
    </row>
    <row r="104" spans="2:8" ht="15.5" x14ac:dyDescent="0.35">
      <c r="B104" s="395" t="s">
        <v>870</v>
      </c>
      <c r="C104" s="393" t="s">
        <v>860</v>
      </c>
      <c r="D104" s="489"/>
      <c r="E104" s="510"/>
      <c r="F104" s="463">
        <f t="shared" si="20"/>
        <v>0</v>
      </c>
      <c r="G104" s="471"/>
      <c r="H104" s="133"/>
    </row>
    <row r="105" spans="2:8" ht="15.5" x14ac:dyDescent="0.35">
      <c r="B105" s="174">
        <v>23</v>
      </c>
      <c r="C105" s="175" t="s">
        <v>871</v>
      </c>
      <c r="D105" s="460">
        <f t="shared" ref="D105:E105" si="27">SUM(D106:D107)</f>
        <v>0</v>
      </c>
      <c r="E105" s="460">
        <f t="shared" si="27"/>
        <v>0</v>
      </c>
      <c r="F105" s="456">
        <f t="shared" si="20"/>
        <v>0</v>
      </c>
      <c r="G105" s="475">
        <f>SUM(G106:G107)</f>
        <v>0</v>
      </c>
      <c r="H105" s="133"/>
    </row>
    <row r="106" spans="2:8" ht="15.5" x14ac:dyDescent="0.35">
      <c r="B106" s="384">
        <v>231</v>
      </c>
      <c r="C106" s="397" t="s">
        <v>872</v>
      </c>
      <c r="D106" s="490"/>
      <c r="E106" s="511"/>
      <c r="F106" s="463">
        <f t="shared" si="20"/>
        <v>0</v>
      </c>
      <c r="G106" s="468"/>
      <c r="H106" s="133"/>
    </row>
    <row r="107" spans="2:8" ht="15.5" x14ac:dyDescent="0.35">
      <c r="B107" s="396">
        <v>232</v>
      </c>
      <c r="C107" s="398" t="s">
        <v>873</v>
      </c>
      <c r="D107" s="491"/>
      <c r="E107" s="512"/>
      <c r="F107" s="463">
        <f t="shared" si="20"/>
        <v>0</v>
      </c>
      <c r="G107" s="468"/>
      <c r="H107" s="133"/>
    </row>
    <row r="108" spans="2:8" ht="15.5" x14ac:dyDescent="0.35">
      <c r="B108" s="170">
        <v>24</v>
      </c>
      <c r="C108" s="176" t="s">
        <v>874</v>
      </c>
      <c r="D108" s="460">
        <f t="shared" ref="D108:E108" si="28">SUM(D109:D111)</f>
        <v>0</v>
      </c>
      <c r="E108" s="460">
        <f t="shared" si="28"/>
        <v>0</v>
      </c>
      <c r="F108" s="456">
        <f t="shared" si="20"/>
        <v>0</v>
      </c>
      <c r="G108" s="475">
        <f>SUM(G109:G111)</f>
        <v>0</v>
      </c>
      <c r="H108" s="133"/>
    </row>
    <row r="109" spans="2:8" ht="15.5" x14ac:dyDescent="0.35">
      <c r="B109" s="384">
        <v>241</v>
      </c>
      <c r="C109" s="397" t="s">
        <v>875</v>
      </c>
      <c r="D109" s="490"/>
      <c r="E109" s="511"/>
      <c r="F109" s="463">
        <f t="shared" si="20"/>
        <v>0</v>
      </c>
      <c r="G109" s="468"/>
      <c r="H109" s="133"/>
    </row>
    <row r="110" spans="2:8" ht="15.5" x14ac:dyDescent="0.35">
      <c r="B110" s="384">
        <v>242</v>
      </c>
      <c r="C110" s="397" t="s">
        <v>876</v>
      </c>
      <c r="D110" s="490"/>
      <c r="E110" s="511"/>
      <c r="F110" s="463">
        <f t="shared" si="20"/>
        <v>0</v>
      </c>
      <c r="G110" s="468"/>
      <c r="H110" s="133"/>
    </row>
    <row r="111" spans="2:8" ht="15.5" x14ac:dyDescent="0.35">
      <c r="B111" s="384">
        <v>249</v>
      </c>
      <c r="C111" s="397" t="s">
        <v>877</v>
      </c>
      <c r="D111" s="490"/>
      <c r="E111" s="511"/>
      <c r="F111" s="463">
        <f t="shared" si="20"/>
        <v>0</v>
      </c>
      <c r="G111" s="468"/>
      <c r="H111" s="133"/>
    </row>
    <row r="112" spans="2:8" ht="15.5" x14ac:dyDescent="0.35">
      <c r="B112" s="170">
        <v>25</v>
      </c>
      <c r="C112" s="176" t="s">
        <v>878</v>
      </c>
      <c r="D112" s="460">
        <f t="shared" ref="D112:E112" si="29">D113+D114</f>
        <v>0</v>
      </c>
      <c r="E112" s="460">
        <f t="shared" si="29"/>
        <v>0</v>
      </c>
      <c r="F112" s="456">
        <f t="shared" si="20"/>
        <v>0</v>
      </c>
      <c r="G112" s="475">
        <f>G113+G114</f>
        <v>0</v>
      </c>
      <c r="H112" s="133"/>
    </row>
    <row r="113" spans="2:8" ht="15.5" x14ac:dyDescent="0.35">
      <c r="B113" s="384">
        <v>251</v>
      </c>
      <c r="C113" s="397" t="s">
        <v>879</v>
      </c>
      <c r="D113" s="490"/>
      <c r="E113" s="511"/>
      <c r="F113" s="463">
        <f t="shared" si="20"/>
        <v>0</v>
      </c>
      <c r="G113" s="468"/>
      <c r="H113" s="133"/>
    </row>
    <row r="114" spans="2:8" ht="15.5" x14ac:dyDescent="0.35">
      <c r="B114" s="384">
        <v>252</v>
      </c>
      <c r="C114" s="397" t="s">
        <v>880</v>
      </c>
      <c r="D114" s="490"/>
      <c r="E114" s="511"/>
      <c r="F114" s="463">
        <f t="shared" si="20"/>
        <v>0</v>
      </c>
      <c r="G114" s="468"/>
      <c r="H114" s="133"/>
    </row>
    <row r="115" spans="2:8" ht="15.5" x14ac:dyDescent="0.35">
      <c r="B115" s="170">
        <v>26</v>
      </c>
      <c r="C115" s="176" t="s">
        <v>857</v>
      </c>
      <c r="D115" s="460">
        <f t="shared" ref="D115:E115" si="30">SUM(D116:D118)</f>
        <v>0</v>
      </c>
      <c r="E115" s="460">
        <f t="shared" si="30"/>
        <v>0</v>
      </c>
      <c r="F115" s="456">
        <f t="shared" si="20"/>
        <v>0</v>
      </c>
      <c r="G115" s="475">
        <f>SUM(G116:G118)</f>
        <v>0</v>
      </c>
      <c r="H115" s="133"/>
    </row>
    <row r="116" spans="2:8" ht="15.5" x14ac:dyDescent="0.35">
      <c r="B116" s="384">
        <v>261</v>
      </c>
      <c r="C116" s="397" t="s">
        <v>881</v>
      </c>
      <c r="D116" s="490"/>
      <c r="E116" s="511"/>
      <c r="F116" s="463">
        <f t="shared" si="20"/>
        <v>0</v>
      </c>
      <c r="G116" s="468"/>
      <c r="H116" s="133"/>
    </row>
    <row r="117" spans="2:8" ht="15.5" x14ac:dyDescent="0.35">
      <c r="B117" s="384">
        <v>262</v>
      </c>
      <c r="C117" s="397" t="s">
        <v>882</v>
      </c>
      <c r="D117" s="490"/>
      <c r="E117" s="511"/>
      <c r="F117" s="463">
        <f t="shared" si="20"/>
        <v>0</v>
      </c>
      <c r="G117" s="468"/>
      <c r="H117" s="133"/>
    </row>
    <row r="118" spans="2:8" ht="15.5" x14ac:dyDescent="0.35">
      <c r="B118" s="384">
        <v>269</v>
      </c>
      <c r="C118" s="397" t="s">
        <v>877</v>
      </c>
      <c r="D118" s="490"/>
      <c r="E118" s="511"/>
      <c r="F118" s="463">
        <f t="shared" si="20"/>
        <v>0</v>
      </c>
      <c r="G118" s="468"/>
      <c r="H118" s="133"/>
    </row>
    <row r="119" spans="2:8" ht="15.5" x14ac:dyDescent="0.35">
      <c r="B119" s="170">
        <v>27</v>
      </c>
      <c r="C119" s="176" t="s">
        <v>883</v>
      </c>
      <c r="D119" s="456">
        <f t="shared" ref="D119:E119" si="31">SUM(D120:D122)</f>
        <v>0</v>
      </c>
      <c r="E119" s="456">
        <f t="shared" si="31"/>
        <v>0</v>
      </c>
      <c r="F119" s="456">
        <f t="shared" si="20"/>
        <v>0</v>
      </c>
      <c r="G119" s="475">
        <f>SUM(G120:G122)</f>
        <v>0</v>
      </c>
      <c r="H119" s="133"/>
    </row>
    <row r="120" spans="2:8" ht="15.5" x14ac:dyDescent="0.35">
      <c r="B120" s="384">
        <v>271</v>
      </c>
      <c r="C120" s="397" t="s">
        <v>884</v>
      </c>
      <c r="D120" s="490"/>
      <c r="E120" s="511"/>
      <c r="F120" s="463">
        <f t="shared" si="20"/>
        <v>0</v>
      </c>
      <c r="G120" s="468"/>
      <c r="H120" s="133"/>
    </row>
    <row r="121" spans="2:8" ht="15.5" x14ac:dyDescent="0.35">
      <c r="B121" s="384">
        <v>272</v>
      </c>
      <c r="C121" s="397" t="s">
        <v>860</v>
      </c>
      <c r="D121" s="490"/>
      <c r="E121" s="511"/>
      <c r="F121" s="463">
        <f t="shared" si="20"/>
        <v>0</v>
      </c>
      <c r="G121" s="468"/>
      <c r="H121" s="133"/>
    </row>
    <row r="122" spans="2:8" ht="15.5" x14ac:dyDescent="0.35">
      <c r="B122" s="384">
        <v>273</v>
      </c>
      <c r="C122" s="397" t="s">
        <v>857</v>
      </c>
      <c r="D122" s="490"/>
      <c r="E122" s="511"/>
      <c r="F122" s="463">
        <f t="shared" si="20"/>
        <v>0</v>
      </c>
      <c r="G122" s="468"/>
      <c r="H122" s="133"/>
    </row>
    <row r="123" spans="2:8" ht="15.5" x14ac:dyDescent="0.35">
      <c r="B123" s="170">
        <v>28</v>
      </c>
      <c r="C123" s="176" t="s">
        <v>885</v>
      </c>
      <c r="D123" s="460">
        <f t="shared" ref="D123:E123" si="32">D124+D125</f>
        <v>0</v>
      </c>
      <c r="E123" s="460">
        <f t="shared" si="32"/>
        <v>0</v>
      </c>
      <c r="F123" s="456">
        <f t="shared" si="20"/>
        <v>0</v>
      </c>
      <c r="G123" s="475">
        <f>G124+G125</f>
        <v>0</v>
      </c>
      <c r="H123" s="133"/>
    </row>
    <row r="124" spans="2:8" ht="15.5" x14ac:dyDescent="0.35">
      <c r="B124" s="384">
        <v>281</v>
      </c>
      <c r="C124" s="397" t="s">
        <v>886</v>
      </c>
      <c r="D124" s="490"/>
      <c r="E124" s="511"/>
      <c r="F124" s="463">
        <f t="shared" si="20"/>
        <v>0</v>
      </c>
      <c r="G124" s="468"/>
      <c r="H124" s="133"/>
    </row>
    <row r="125" spans="2:8" ht="15.5" x14ac:dyDescent="0.35">
      <c r="B125" s="384">
        <v>282</v>
      </c>
      <c r="C125" s="397" t="s">
        <v>857</v>
      </c>
      <c r="D125" s="490"/>
      <c r="E125" s="511"/>
      <c r="F125" s="463">
        <f t="shared" si="20"/>
        <v>0</v>
      </c>
      <c r="G125" s="468"/>
      <c r="H125" s="133"/>
    </row>
    <row r="126" spans="2:8" ht="15.5" x14ac:dyDescent="0.35">
      <c r="B126" s="170">
        <v>29</v>
      </c>
      <c r="C126" s="176" t="s">
        <v>887</v>
      </c>
      <c r="D126" s="456">
        <f t="shared" ref="D126:E126" si="33">SUM(D127:D132)</f>
        <v>0</v>
      </c>
      <c r="E126" s="456">
        <f t="shared" si="33"/>
        <v>0</v>
      </c>
      <c r="F126" s="456">
        <f t="shared" si="20"/>
        <v>0</v>
      </c>
      <c r="G126" s="475">
        <f>SUM(G127:G132)</f>
        <v>0</v>
      </c>
      <c r="H126" s="133"/>
    </row>
    <row r="127" spans="2:8" ht="15.5" x14ac:dyDescent="0.35">
      <c r="B127" s="384">
        <v>291</v>
      </c>
      <c r="C127" s="397" t="s">
        <v>888</v>
      </c>
      <c r="D127" s="490"/>
      <c r="E127" s="511"/>
      <c r="F127" s="463">
        <f t="shared" si="20"/>
        <v>0</v>
      </c>
      <c r="G127" s="468"/>
      <c r="H127" s="133"/>
    </row>
    <row r="128" spans="2:8" ht="15.5" x14ac:dyDescent="0.35">
      <c r="B128" s="384">
        <v>292</v>
      </c>
      <c r="C128" s="397" t="s">
        <v>862</v>
      </c>
      <c r="D128" s="490"/>
      <c r="E128" s="511"/>
      <c r="F128" s="463">
        <f t="shared" si="20"/>
        <v>0</v>
      </c>
      <c r="G128" s="468"/>
      <c r="H128" s="133"/>
    </row>
    <row r="129" spans="2:8" ht="15.5" x14ac:dyDescent="0.35">
      <c r="B129" s="384">
        <v>293</v>
      </c>
      <c r="C129" s="397" t="s">
        <v>871</v>
      </c>
      <c r="D129" s="490"/>
      <c r="E129" s="511"/>
      <c r="F129" s="463">
        <f t="shared" si="20"/>
        <v>0</v>
      </c>
      <c r="G129" s="468"/>
      <c r="H129" s="133"/>
    </row>
    <row r="130" spans="2:8" ht="15.5" x14ac:dyDescent="0.35">
      <c r="B130" s="384">
        <v>294</v>
      </c>
      <c r="C130" s="397" t="s">
        <v>874</v>
      </c>
      <c r="D130" s="490"/>
      <c r="E130" s="511"/>
      <c r="F130" s="463">
        <f t="shared" si="20"/>
        <v>0</v>
      </c>
      <c r="G130" s="468"/>
      <c r="H130" s="133"/>
    </row>
    <row r="131" spans="2:8" ht="15.5" x14ac:dyDescent="0.35">
      <c r="B131" s="384">
        <v>295</v>
      </c>
      <c r="C131" s="397" t="s">
        <v>878</v>
      </c>
      <c r="D131" s="490"/>
      <c r="E131" s="511"/>
      <c r="F131" s="463">
        <f t="shared" si="20"/>
        <v>0</v>
      </c>
      <c r="G131" s="468"/>
      <c r="H131" s="133"/>
    </row>
    <row r="132" spans="2:8" ht="15.5" x14ac:dyDescent="0.35">
      <c r="B132" s="396">
        <v>296</v>
      </c>
      <c r="C132" s="398" t="s">
        <v>857</v>
      </c>
      <c r="D132" s="491"/>
      <c r="E132" s="512"/>
      <c r="F132" s="463">
        <f t="shared" si="20"/>
        <v>0</v>
      </c>
      <c r="G132" s="468"/>
      <c r="H132" s="133"/>
    </row>
    <row r="133" spans="2:8" ht="15.5" x14ac:dyDescent="0.35">
      <c r="B133" s="171" t="s">
        <v>889</v>
      </c>
      <c r="C133" s="172" t="s">
        <v>890</v>
      </c>
      <c r="D133" s="455">
        <f t="shared" ref="D133:E133" si="34">D134+D139+D140+D145+D150+D177+D180+D191+D226+D238</f>
        <v>13563126122.330002</v>
      </c>
      <c r="E133" s="455">
        <f t="shared" si="34"/>
        <v>13879168061.99</v>
      </c>
      <c r="F133" s="455">
        <f t="shared" si="20"/>
        <v>-316041939.65999794</v>
      </c>
      <c r="G133" s="474">
        <f>G134+G139+G140+G145+G150+G177+G180+G191+G226+G238</f>
        <v>0</v>
      </c>
      <c r="H133" s="133"/>
    </row>
    <row r="134" spans="2:8" ht="15.5" x14ac:dyDescent="0.35">
      <c r="B134" s="165" t="s">
        <v>891</v>
      </c>
      <c r="C134" s="166" t="s">
        <v>892</v>
      </c>
      <c r="D134" s="456">
        <f t="shared" ref="D134:E134" si="35">SUM(D135:D138)</f>
        <v>3471819970.3299999</v>
      </c>
      <c r="E134" s="456">
        <f t="shared" si="35"/>
        <v>2857084817.4500003</v>
      </c>
      <c r="F134" s="456">
        <f t="shared" si="20"/>
        <v>614735152.87999964</v>
      </c>
      <c r="G134" s="470">
        <f>SUM(G135:G138)</f>
        <v>0</v>
      </c>
      <c r="H134" s="133"/>
    </row>
    <row r="135" spans="2:8" ht="15.5" x14ac:dyDescent="0.35">
      <c r="B135" s="395" t="s">
        <v>893</v>
      </c>
      <c r="C135" s="393" t="s">
        <v>894</v>
      </c>
      <c r="D135" s="489">
        <v>3220403798.46</v>
      </c>
      <c r="E135" s="510">
        <v>2848505429.4400001</v>
      </c>
      <c r="F135" s="463">
        <f t="shared" ref="F135:F200" si="36">IF(D135&gt;=E135,D135-E135,D135-E135)</f>
        <v>371898369.01999998</v>
      </c>
      <c r="G135" s="468"/>
      <c r="H135" s="133"/>
    </row>
    <row r="136" spans="2:8" ht="15.5" x14ac:dyDescent="0.35">
      <c r="B136" s="395" t="s">
        <v>895</v>
      </c>
      <c r="C136" s="393" t="s">
        <v>896</v>
      </c>
      <c r="D136" s="489"/>
      <c r="E136" s="510"/>
      <c r="F136" s="463">
        <f t="shared" si="36"/>
        <v>0</v>
      </c>
      <c r="G136" s="468"/>
      <c r="H136" s="133"/>
    </row>
    <row r="137" spans="2:8" ht="15.5" x14ac:dyDescent="0.35">
      <c r="B137" s="396">
        <v>313</v>
      </c>
      <c r="C137" s="392" t="s">
        <v>897</v>
      </c>
      <c r="D137" s="488"/>
      <c r="E137" s="509"/>
      <c r="F137" s="463">
        <f t="shared" si="36"/>
        <v>0</v>
      </c>
      <c r="G137" s="468"/>
      <c r="H137" s="133"/>
    </row>
    <row r="138" spans="2:8" ht="15.5" x14ac:dyDescent="0.35">
      <c r="B138" s="395" t="s">
        <v>898</v>
      </c>
      <c r="C138" s="393" t="s">
        <v>899</v>
      </c>
      <c r="D138" s="489">
        <v>251416171.87</v>
      </c>
      <c r="E138" s="510">
        <v>8579388.0099999998</v>
      </c>
      <c r="F138" s="463">
        <f t="shared" si="36"/>
        <v>242836783.86000001</v>
      </c>
      <c r="G138" s="468"/>
      <c r="H138" s="133"/>
    </row>
    <row r="139" spans="2:8" ht="15.5" x14ac:dyDescent="0.35">
      <c r="B139" s="395" t="s">
        <v>900</v>
      </c>
      <c r="C139" s="393" t="s">
        <v>901</v>
      </c>
      <c r="D139" s="489">
        <v>1564061767.8399999</v>
      </c>
      <c r="E139" s="510">
        <v>1855447986.0599999</v>
      </c>
      <c r="F139" s="463">
        <f t="shared" si="36"/>
        <v>-291386218.22000003</v>
      </c>
      <c r="G139" s="468"/>
      <c r="H139" s="133"/>
    </row>
    <row r="140" spans="2:8" ht="15.5" x14ac:dyDescent="0.35">
      <c r="B140" s="167" t="s">
        <v>902</v>
      </c>
      <c r="C140" s="168" t="s">
        <v>903</v>
      </c>
      <c r="D140" s="456">
        <f t="shared" ref="D140:E140" si="37">SUM(D141:D144)</f>
        <v>4222392812.1100001</v>
      </c>
      <c r="E140" s="456">
        <f t="shared" si="37"/>
        <v>4186757668.04</v>
      </c>
      <c r="F140" s="456">
        <f t="shared" si="36"/>
        <v>35635144.070000172</v>
      </c>
      <c r="G140" s="470">
        <f>SUM(G141:G144)</f>
        <v>0</v>
      </c>
      <c r="H140" s="133"/>
    </row>
    <row r="141" spans="2:8" ht="15.5" x14ac:dyDescent="0.35">
      <c r="B141" s="391" t="s">
        <v>904</v>
      </c>
      <c r="C141" s="392" t="s">
        <v>905</v>
      </c>
      <c r="D141" s="488">
        <v>2381304194.21</v>
      </c>
      <c r="E141" s="509">
        <v>2609104878.5599999</v>
      </c>
      <c r="F141" s="463">
        <f t="shared" si="36"/>
        <v>-227800684.3499999</v>
      </c>
      <c r="G141" s="468"/>
      <c r="H141" s="133"/>
    </row>
    <row r="142" spans="2:8" ht="15.5" x14ac:dyDescent="0.35">
      <c r="B142" s="384">
        <v>322</v>
      </c>
      <c r="C142" s="393" t="s">
        <v>906</v>
      </c>
      <c r="D142" s="489"/>
      <c r="E142" s="510"/>
      <c r="F142" s="463">
        <f t="shared" si="36"/>
        <v>0</v>
      </c>
      <c r="G142" s="468"/>
      <c r="H142" s="133"/>
    </row>
    <row r="143" spans="2:8" ht="15.5" x14ac:dyDescent="0.35">
      <c r="B143" s="391" t="s">
        <v>907</v>
      </c>
      <c r="C143" s="392" t="s">
        <v>908</v>
      </c>
      <c r="D143" s="488"/>
      <c r="E143" s="509"/>
      <c r="F143" s="463">
        <f t="shared" si="36"/>
        <v>0</v>
      </c>
      <c r="G143" s="468"/>
      <c r="H143" s="133"/>
    </row>
    <row r="144" spans="2:8" ht="15.5" x14ac:dyDescent="0.35">
      <c r="B144" s="391" t="s">
        <v>909</v>
      </c>
      <c r="C144" s="392" t="s">
        <v>910</v>
      </c>
      <c r="D144" s="488">
        <v>1841088617.9000001</v>
      </c>
      <c r="E144" s="509">
        <v>1577652789.48</v>
      </c>
      <c r="F144" s="463">
        <f t="shared" si="36"/>
        <v>263435828.42000008</v>
      </c>
      <c r="G144" s="468"/>
      <c r="H144" s="133"/>
    </row>
    <row r="145" spans="2:8" ht="15.5" x14ac:dyDescent="0.35">
      <c r="B145" s="170">
        <v>33</v>
      </c>
      <c r="C145" s="176" t="s">
        <v>825</v>
      </c>
      <c r="D145" s="460">
        <f t="shared" ref="D145:E145" si="38">SUM(D146:D149)</f>
        <v>0</v>
      </c>
      <c r="E145" s="460">
        <f t="shared" si="38"/>
        <v>0</v>
      </c>
      <c r="F145" s="456">
        <f t="shared" si="36"/>
        <v>0</v>
      </c>
      <c r="G145" s="475">
        <f>SUM(G146:G149)</f>
        <v>0</v>
      </c>
      <c r="H145" s="133"/>
    </row>
    <row r="146" spans="2:8" ht="15.5" x14ac:dyDescent="0.35">
      <c r="B146" s="384">
        <v>331</v>
      </c>
      <c r="C146" s="397" t="s">
        <v>911</v>
      </c>
      <c r="D146" s="490"/>
      <c r="E146" s="511"/>
      <c r="F146" s="463">
        <f t="shared" si="36"/>
        <v>0</v>
      </c>
      <c r="G146" s="468"/>
      <c r="H146" s="133"/>
    </row>
    <row r="147" spans="2:8" ht="15.5" x14ac:dyDescent="0.35">
      <c r="B147" s="384">
        <v>332</v>
      </c>
      <c r="C147" s="397" t="s">
        <v>912</v>
      </c>
      <c r="D147" s="490"/>
      <c r="E147" s="511"/>
      <c r="F147" s="463">
        <f t="shared" si="36"/>
        <v>0</v>
      </c>
      <c r="G147" s="468"/>
      <c r="H147" s="602"/>
    </row>
    <row r="148" spans="2:8" ht="15.5" x14ac:dyDescent="0.35">
      <c r="B148" s="384">
        <v>333</v>
      </c>
      <c r="C148" s="397" t="s">
        <v>913</v>
      </c>
      <c r="D148" s="490"/>
      <c r="E148" s="511"/>
      <c r="F148" s="463">
        <f t="shared" si="36"/>
        <v>0</v>
      </c>
      <c r="G148" s="468"/>
      <c r="H148" s="133"/>
    </row>
    <row r="149" spans="2:8" ht="15.5" x14ac:dyDescent="0.35">
      <c r="B149" s="384">
        <v>339</v>
      </c>
      <c r="C149" s="397" t="s">
        <v>914</v>
      </c>
      <c r="D149" s="490"/>
      <c r="E149" s="511"/>
      <c r="F149" s="463">
        <f t="shared" si="36"/>
        <v>0</v>
      </c>
      <c r="G149" s="468"/>
      <c r="H149" s="133"/>
    </row>
    <row r="150" spans="2:8" ht="15.5" x14ac:dyDescent="0.35">
      <c r="B150" s="165" t="s">
        <v>915</v>
      </c>
      <c r="C150" s="166" t="s">
        <v>916</v>
      </c>
      <c r="D150" s="461">
        <f>D151+SUM(D154:D156)+D157+D169</f>
        <v>1806326898.4200001</v>
      </c>
      <c r="E150" s="461">
        <f>E151+SUM(E154:E156)+E157+E169</f>
        <v>1711569602.4400001</v>
      </c>
      <c r="F150" s="456">
        <f t="shared" si="36"/>
        <v>94757295.980000019</v>
      </c>
      <c r="G150" s="470">
        <f>SUM(G151:G157)+SUM(G167:G169)</f>
        <v>0</v>
      </c>
      <c r="H150" s="133"/>
    </row>
    <row r="151" spans="2:8" ht="15.5" x14ac:dyDescent="0.35">
      <c r="B151" s="608" t="s">
        <v>917</v>
      </c>
      <c r="C151" s="609" t="s">
        <v>918</v>
      </c>
      <c r="D151" s="610">
        <f>SUM(D152:D153)</f>
        <v>661109289.20000005</v>
      </c>
      <c r="E151" s="610">
        <f>SUM(E152:E153)</f>
        <v>14214107.57</v>
      </c>
      <c r="F151" s="611">
        <f t="shared" si="36"/>
        <v>646895181.63</v>
      </c>
      <c r="G151" s="612"/>
      <c r="H151" s="133"/>
    </row>
    <row r="152" spans="2:8" ht="15.5" x14ac:dyDescent="0.35">
      <c r="B152" s="607">
        <v>3411</v>
      </c>
      <c r="C152" s="393" t="s">
        <v>1787</v>
      </c>
      <c r="D152" s="489">
        <v>649966584.19000006</v>
      </c>
      <c r="E152" s="510">
        <v>1130335.26</v>
      </c>
      <c r="F152" s="458">
        <f t="shared" si="36"/>
        <v>648836248.93000007</v>
      </c>
      <c r="G152" s="606"/>
      <c r="H152" s="133"/>
    </row>
    <row r="153" spans="2:8" ht="15.5" x14ac:dyDescent="0.35">
      <c r="B153" s="607">
        <v>3412</v>
      </c>
      <c r="C153" s="393" t="s">
        <v>1788</v>
      </c>
      <c r="D153" s="489">
        <v>11142705.01</v>
      </c>
      <c r="E153" s="510">
        <v>13083772.310000001</v>
      </c>
      <c r="F153" s="458">
        <f t="shared" si="36"/>
        <v>-1941067.3000000007</v>
      </c>
      <c r="G153" s="606"/>
      <c r="H153" s="133"/>
    </row>
    <row r="154" spans="2:8" ht="15.5" x14ac:dyDescent="0.35">
      <c r="B154" s="395" t="s">
        <v>919</v>
      </c>
      <c r="C154" s="393" t="s">
        <v>920</v>
      </c>
      <c r="D154" s="489"/>
      <c r="E154" s="510"/>
      <c r="F154" s="463">
        <f t="shared" si="36"/>
        <v>0</v>
      </c>
      <c r="G154" s="468"/>
      <c r="H154" s="133"/>
    </row>
    <row r="155" spans="2:8" ht="15.5" x14ac:dyDescent="0.35">
      <c r="B155" s="395" t="s">
        <v>921</v>
      </c>
      <c r="C155" s="393" t="s">
        <v>922</v>
      </c>
      <c r="D155" s="489">
        <v>154194749</v>
      </c>
      <c r="E155" s="510">
        <v>427926816.35000002</v>
      </c>
      <c r="F155" s="463">
        <f t="shared" si="36"/>
        <v>-273732067.35000002</v>
      </c>
      <c r="G155" s="468"/>
      <c r="H155" s="133"/>
    </row>
    <row r="156" spans="2:8" ht="15.5" x14ac:dyDescent="0.35">
      <c r="B156" s="395" t="s">
        <v>923</v>
      </c>
      <c r="C156" s="393" t="s">
        <v>924</v>
      </c>
      <c r="D156" s="489">
        <v>508700</v>
      </c>
      <c r="E156" s="510">
        <v>508700</v>
      </c>
      <c r="F156" s="463">
        <f t="shared" si="36"/>
        <v>0</v>
      </c>
      <c r="G156" s="468"/>
      <c r="H156" s="133"/>
    </row>
    <row r="157" spans="2:8" ht="15.5" x14ac:dyDescent="0.35">
      <c r="B157" s="404" t="s">
        <v>925</v>
      </c>
      <c r="C157" s="405" t="s">
        <v>926</v>
      </c>
      <c r="D157" s="457">
        <f t="shared" ref="D157:E157" si="39">SUM(D158:D166)</f>
        <v>882394310.22000003</v>
      </c>
      <c r="E157" s="457">
        <f t="shared" si="39"/>
        <v>946738103.35000002</v>
      </c>
      <c r="F157" s="457">
        <f t="shared" si="36"/>
        <v>-64343793.129999995</v>
      </c>
      <c r="G157" s="469">
        <f>SUM(G158:G166)</f>
        <v>0</v>
      </c>
      <c r="H157" s="133"/>
    </row>
    <row r="158" spans="2:8" ht="15.5" x14ac:dyDescent="0.35">
      <c r="B158" s="380" t="s">
        <v>927</v>
      </c>
      <c r="C158" s="381" t="s">
        <v>928</v>
      </c>
      <c r="D158" s="485"/>
      <c r="E158" s="506"/>
      <c r="F158" s="463">
        <f t="shared" si="36"/>
        <v>0</v>
      </c>
      <c r="G158" s="468"/>
      <c r="H158" s="133"/>
    </row>
    <row r="159" spans="2:8" ht="15.5" x14ac:dyDescent="0.35">
      <c r="B159" s="382" t="s">
        <v>929</v>
      </c>
      <c r="C159" s="379" t="s">
        <v>930</v>
      </c>
      <c r="D159" s="484">
        <v>156543698.63</v>
      </c>
      <c r="E159" s="505">
        <v>156543698.63</v>
      </c>
      <c r="F159" s="463">
        <f t="shared" si="36"/>
        <v>0</v>
      </c>
      <c r="G159" s="468"/>
      <c r="H159" s="133"/>
    </row>
    <row r="160" spans="2:8" ht="15.5" x14ac:dyDescent="0.35">
      <c r="B160" s="380" t="s">
        <v>931</v>
      </c>
      <c r="C160" s="381" t="s">
        <v>932</v>
      </c>
      <c r="D160" s="485">
        <v>280781104.42000002</v>
      </c>
      <c r="E160" s="506">
        <v>280781104.42000002</v>
      </c>
      <c r="F160" s="463">
        <f t="shared" si="36"/>
        <v>0</v>
      </c>
      <c r="G160" s="468"/>
      <c r="H160" s="133"/>
    </row>
    <row r="161" spans="2:8" ht="15.5" x14ac:dyDescent="0.35">
      <c r="B161" s="382" t="s">
        <v>933</v>
      </c>
      <c r="C161" s="379" t="s">
        <v>934</v>
      </c>
      <c r="D161" s="484">
        <v>18156495.600000001</v>
      </c>
      <c r="E161" s="505">
        <v>18156495.600000001</v>
      </c>
      <c r="F161" s="463">
        <f t="shared" si="36"/>
        <v>0</v>
      </c>
      <c r="G161" s="468"/>
      <c r="H161" s="133"/>
    </row>
    <row r="162" spans="2:8" ht="15.5" x14ac:dyDescent="0.35">
      <c r="B162" s="380" t="s">
        <v>935</v>
      </c>
      <c r="C162" s="381" t="s">
        <v>936</v>
      </c>
      <c r="D162" s="485">
        <v>297062253.72000003</v>
      </c>
      <c r="E162" s="506">
        <v>297062253.72000003</v>
      </c>
      <c r="F162" s="463">
        <f t="shared" si="36"/>
        <v>0</v>
      </c>
      <c r="G162" s="468"/>
      <c r="H162" s="133"/>
    </row>
    <row r="163" spans="2:8" ht="15.5" x14ac:dyDescent="0.35">
      <c r="B163" s="382" t="s">
        <v>937</v>
      </c>
      <c r="C163" s="379" t="s">
        <v>938</v>
      </c>
      <c r="D163" s="484">
        <v>82984328.909999996</v>
      </c>
      <c r="E163" s="505">
        <v>147328122.03999999</v>
      </c>
      <c r="F163" s="463">
        <f t="shared" si="36"/>
        <v>-64343793.129999995</v>
      </c>
      <c r="G163" s="468"/>
      <c r="H163" s="133"/>
    </row>
    <row r="164" spans="2:8" ht="15.5" x14ac:dyDescent="0.35">
      <c r="B164" s="380" t="s">
        <v>939</v>
      </c>
      <c r="C164" s="381" t="s">
        <v>940</v>
      </c>
      <c r="D164" s="485">
        <v>21235869.140000001</v>
      </c>
      <c r="E164" s="506">
        <v>21235869.140000001</v>
      </c>
      <c r="F164" s="463">
        <f t="shared" si="36"/>
        <v>0</v>
      </c>
      <c r="G164" s="468"/>
      <c r="H164" s="133"/>
    </row>
    <row r="165" spans="2:8" ht="15.5" x14ac:dyDescent="0.35">
      <c r="B165" s="378">
        <v>3458</v>
      </c>
      <c r="C165" s="387" t="s">
        <v>941</v>
      </c>
      <c r="D165" s="492">
        <v>22801507.800000001</v>
      </c>
      <c r="E165" s="513">
        <v>22801507.800000001</v>
      </c>
      <c r="F165" s="463">
        <f t="shared" si="36"/>
        <v>0</v>
      </c>
      <c r="G165" s="468"/>
      <c r="H165" s="133"/>
    </row>
    <row r="166" spans="2:8" ht="15.5" x14ac:dyDescent="0.35">
      <c r="B166" s="378">
        <v>3459</v>
      </c>
      <c r="C166" s="387" t="s">
        <v>942</v>
      </c>
      <c r="D166" s="492">
        <v>2829052</v>
      </c>
      <c r="E166" s="513">
        <v>2829052</v>
      </c>
      <c r="F166" s="463">
        <f t="shared" si="36"/>
        <v>0</v>
      </c>
      <c r="G166" s="468"/>
      <c r="H166" s="133"/>
    </row>
    <row r="167" spans="2:8" ht="15.5" x14ac:dyDescent="0.35">
      <c r="B167" s="384">
        <v>346</v>
      </c>
      <c r="C167" s="397" t="s">
        <v>943</v>
      </c>
      <c r="D167" s="490"/>
      <c r="E167" s="511"/>
      <c r="F167" s="463"/>
      <c r="G167" s="468"/>
      <c r="H167" s="133"/>
    </row>
    <row r="168" spans="2:8" ht="15.5" x14ac:dyDescent="0.35">
      <c r="B168" s="396">
        <v>348</v>
      </c>
      <c r="C168" s="398" t="s">
        <v>944</v>
      </c>
      <c r="D168" s="491"/>
      <c r="E168" s="512"/>
      <c r="F168" s="463"/>
      <c r="G168" s="468"/>
      <c r="H168" s="133"/>
    </row>
    <row r="169" spans="2:8" ht="15.5" x14ac:dyDescent="0.35">
      <c r="B169" s="408" t="s">
        <v>945</v>
      </c>
      <c r="C169" s="410" t="s">
        <v>946</v>
      </c>
      <c r="D169" s="462">
        <f t="shared" ref="D169:E169" si="40">SUM(D170:D176)</f>
        <v>108119850</v>
      </c>
      <c r="E169" s="462">
        <f t="shared" si="40"/>
        <v>322181875.17000002</v>
      </c>
      <c r="F169" s="457">
        <f t="shared" si="36"/>
        <v>-214062025.17000002</v>
      </c>
      <c r="G169" s="476">
        <f>SUM(G170:G176)</f>
        <v>0</v>
      </c>
      <c r="H169" s="133"/>
    </row>
    <row r="170" spans="2:8" ht="15.5" x14ac:dyDescent="0.35">
      <c r="B170" s="378">
        <v>3491</v>
      </c>
      <c r="C170" s="388" t="s">
        <v>947</v>
      </c>
      <c r="D170" s="493">
        <v>108119850</v>
      </c>
      <c r="E170" s="514">
        <v>322181875.17000002</v>
      </c>
      <c r="F170" s="463">
        <f t="shared" si="36"/>
        <v>-214062025.17000002</v>
      </c>
      <c r="G170" s="468"/>
      <c r="H170" s="133"/>
    </row>
    <row r="171" spans="2:8" ht="15.5" x14ac:dyDescent="0.35">
      <c r="B171" s="378">
        <v>3492</v>
      </c>
      <c r="C171" s="388" t="s">
        <v>948</v>
      </c>
      <c r="D171" s="493"/>
      <c r="E171" s="514"/>
      <c r="F171" s="463">
        <f t="shared" si="36"/>
        <v>0</v>
      </c>
      <c r="G171" s="468"/>
      <c r="H171" s="133"/>
    </row>
    <row r="172" spans="2:8" ht="15.5" x14ac:dyDescent="0.35">
      <c r="B172" s="378">
        <v>3493</v>
      </c>
      <c r="C172" s="388" t="s">
        <v>949</v>
      </c>
      <c r="D172" s="493"/>
      <c r="E172" s="514"/>
      <c r="F172" s="463">
        <f t="shared" si="36"/>
        <v>0</v>
      </c>
      <c r="G172" s="468"/>
      <c r="H172" s="133"/>
    </row>
    <row r="173" spans="2:8" ht="15.5" x14ac:dyDescent="0.35">
      <c r="B173" s="378">
        <v>3494</v>
      </c>
      <c r="C173" s="389" t="s">
        <v>920</v>
      </c>
      <c r="D173" s="487"/>
      <c r="E173" s="508"/>
      <c r="F173" s="463">
        <f t="shared" si="36"/>
        <v>0</v>
      </c>
      <c r="G173" s="468"/>
      <c r="H173" s="133"/>
    </row>
    <row r="174" spans="2:8" ht="15.5" x14ac:dyDescent="0.35">
      <c r="B174" s="378">
        <v>3495</v>
      </c>
      <c r="C174" s="389" t="s">
        <v>922</v>
      </c>
      <c r="D174" s="487"/>
      <c r="E174" s="508"/>
      <c r="F174" s="463">
        <f t="shared" si="36"/>
        <v>0</v>
      </c>
      <c r="G174" s="468"/>
      <c r="H174" s="133"/>
    </row>
    <row r="175" spans="2:8" ht="15.5" x14ac:dyDescent="0.35">
      <c r="B175" s="378">
        <v>3496</v>
      </c>
      <c r="C175" s="389" t="s">
        <v>924</v>
      </c>
      <c r="D175" s="487"/>
      <c r="E175" s="508"/>
      <c r="F175" s="463">
        <f t="shared" si="36"/>
        <v>0</v>
      </c>
      <c r="G175" s="468"/>
      <c r="H175" s="133"/>
    </row>
    <row r="176" spans="2:8" ht="15.5" x14ac:dyDescent="0.35">
      <c r="B176" s="378">
        <v>3497</v>
      </c>
      <c r="C176" s="388" t="s">
        <v>946</v>
      </c>
      <c r="D176" s="493"/>
      <c r="E176" s="514"/>
      <c r="F176" s="463">
        <f t="shared" si="36"/>
        <v>0</v>
      </c>
      <c r="G176" s="468"/>
      <c r="H176" s="133"/>
    </row>
    <row r="177" spans="2:9" ht="15.5" x14ac:dyDescent="0.35">
      <c r="B177" s="174">
        <v>35</v>
      </c>
      <c r="C177" s="175" t="s">
        <v>950</v>
      </c>
      <c r="D177" s="456">
        <f t="shared" ref="D177:E177" si="41">SUM(D178:D179)</f>
        <v>0</v>
      </c>
      <c r="E177" s="456">
        <f t="shared" si="41"/>
        <v>0</v>
      </c>
      <c r="F177" s="456">
        <f t="shared" si="36"/>
        <v>0</v>
      </c>
      <c r="G177" s="470">
        <f>G178+G179</f>
        <v>0</v>
      </c>
      <c r="H177" s="133"/>
    </row>
    <row r="178" spans="2:9" ht="15.5" x14ac:dyDescent="0.35">
      <c r="B178" s="384">
        <v>351</v>
      </c>
      <c r="C178" s="397" t="s">
        <v>951</v>
      </c>
      <c r="D178" s="490"/>
      <c r="E178" s="511"/>
      <c r="F178" s="463">
        <f t="shared" si="36"/>
        <v>0</v>
      </c>
      <c r="G178" s="468"/>
      <c r="H178" s="133"/>
    </row>
    <row r="179" spans="2:9" ht="15.5" x14ac:dyDescent="0.35">
      <c r="B179" s="384">
        <v>352</v>
      </c>
      <c r="C179" s="397" t="s">
        <v>952</v>
      </c>
      <c r="D179" s="490"/>
      <c r="E179" s="511"/>
      <c r="F179" s="463">
        <f t="shared" si="36"/>
        <v>0</v>
      </c>
      <c r="G179" s="468"/>
      <c r="H179" s="133"/>
    </row>
    <row r="180" spans="2:9" ht="15.5" x14ac:dyDescent="0.35">
      <c r="B180" s="165" t="s">
        <v>953</v>
      </c>
      <c r="C180" s="166" t="s">
        <v>954</v>
      </c>
      <c r="D180" s="456">
        <f t="shared" ref="D180:E180" si="42">D181+D184+D187+D190</f>
        <v>2216593950.52</v>
      </c>
      <c r="E180" s="456">
        <f t="shared" si="42"/>
        <v>2160551952.6500001</v>
      </c>
      <c r="F180" s="456">
        <f t="shared" si="36"/>
        <v>56041997.869999886</v>
      </c>
      <c r="G180" s="470">
        <f>G181+G184+G187+G190</f>
        <v>0</v>
      </c>
      <c r="H180" s="133"/>
    </row>
    <row r="181" spans="2:9" ht="15.5" x14ac:dyDescent="0.35">
      <c r="B181" s="404" t="s">
        <v>955</v>
      </c>
      <c r="C181" s="405" t="s">
        <v>956</v>
      </c>
      <c r="D181" s="459">
        <f t="shared" ref="D181:E181" si="43">SUM(D182:D183)</f>
        <v>2020610775.0899999</v>
      </c>
      <c r="E181" s="459">
        <f t="shared" si="43"/>
        <v>2020610775.0899999</v>
      </c>
      <c r="F181" s="457">
        <f t="shared" si="36"/>
        <v>0</v>
      </c>
      <c r="G181" s="467">
        <f>G182+G183</f>
        <v>0</v>
      </c>
      <c r="H181" s="133"/>
    </row>
    <row r="182" spans="2:9" ht="15.5" x14ac:dyDescent="0.35">
      <c r="B182" s="380" t="s">
        <v>957</v>
      </c>
      <c r="C182" s="381" t="s">
        <v>958</v>
      </c>
      <c r="D182" s="485">
        <v>2020610775.0899999</v>
      </c>
      <c r="E182" s="506">
        <v>2020610775.0899999</v>
      </c>
      <c r="F182" s="463">
        <f t="shared" si="36"/>
        <v>0</v>
      </c>
      <c r="G182" s="468"/>
      <c r="H182" s="133"/>
    </row>
    <row r="183" spans="2:9" ht="15.5" x14ac:dyDescent="0.35">
      <c r="B183" s="382" t="s">
        <v>959</v>
      </c>
      <c r="C183" s="379" t="s">
        <v>960</v>
      </c>
      <c r="D183" s="484"/>
      <c r="E183" s="505"/>
      <c r="F183" s="463">
        <f t="shared" si="36"/>
        <v>0</v>
      </c>
      <c r="G183" s="468"/>
      <c r="H183" s="133"/>
    </row>
    <row r="184" spans="2:9" ht="15.5" x14ac:dyDescent="0.35">
      <c r="B184" s="408">
        <v>362</v>
      </c>
      <c r="C184" s="405" t="s">
        <v>961</v>
      </c>
      <c r="D184" s="459">
        <f t="shared" ref="D184:E184" si="44">SUM(D185:D186)</f>
        <v>0</v>
      </c>
      <c r="E184" s="459">
        <f t="shared" si="44"/>
        <v>0</v>
      </c>
      <c r="F184" s="457">
        <f t="shared" si="36"/>
        <v>0</v>
      </c>
      <c r="G184" s="467">
        <f>G185+G186</f>
        <v>0</v>
      </c>
      <c r="H184" s="133"/>
    </row>
    <row r="185" spans="2:9" ht="15.5" x14ac:dyDescent="0.35">
      <c r="B185" s="378">
        <v>3621</v>
      </c>
      <c r="C185" s="379" t="s">
        <v>962</v>
      </c>
      <c r="D185" s="484"/>
      <c r="E185" s="505"/>
      <c r="F185" s="463">
        <f t="shared" si="36"/>
        <v>0</v>
      </c>
      <c r="G185" s="468"/>
      <c r="H185" s="133"/>
    </row>
    <row r="186" spans="2:9" ht="15.5" x14ac:dyDescent="0.35">
      <c r="B186" s="378">
        <v>3622</v>
      </c>
      <c r="C186" s="379" t="s">
        <v>963</v>
      </c>
      <c r="D186" s="484"/>
      <c r="E186" s="505"/>
      <c r="F186" s="463">
        <f t="shared" si="36"/>
        <v>0</v>
      </c>
      <c r="G186" s="468"/>
      <c r="H186" s="133"/>
    </row>
    <row r="187" spans="2:9" ht="15.5" x14ac:dyDescent="0.35">
      <c r="B187" s="406" t="s">
        <v>964</v>
      </c>
      <c r="C187" s="407" t="s">
        <v>965</v>
      </c>
      <c r="D187" s="459">
        <f t="shared" ref="D187:E187" si="45">SUM(D188:D189)</f>
        <v>195983175.43000001</v>
      </c>
      <c r="E187" s="459">
        <f t="shared" si="45"/>
        <v>139941177.56</v>
      </c>
      <c r="F187" s="457">
        <f t="shared" si="36"/>
        <v>56041997.870000005</v>
      </c>
      <c r="G187" s="467">
        <f>G188+G189</f>
        <v>0</v>
      </c>
      <c r="H187" s="133"/>
    </row>
    <row r="188" spans="2:9" ht="15.5" x14ac:dyDescent="0.35">
      <c r="B188" s="382" t="s">
        <v>966</v>
      </c>
      <c r="C188" s="379" t="s">
        <v>967</v>
      </c>
      <c r="D188" s="484">
        <v>195983175.43000001</v>
      </c>
      <c r="E188" s="505">
        <v>139941177.56</v>
      </c>
      <c r="F188" s="463">
        <f t="shared" si="36"/>
        <v>56041997.870000005</v>
      </c>
      <c r="G188" s="468"/>
      <c r="H188" s="133"/>
    </row>
    <row r="189" spans="2:9" ht="15.5" x14ac:dyDescent="0.35">
      <c r="B189" s="380" t="s">
        <v>968</v>
      </c>
      <c r="C189" s="381" t="s">
        <v>963</v>
      </c>
      <c r="D189" s="485"/>
      <c r="E189" s="506"/>
      <c r="F189" s="463">
        <f t="shared" si="36"/>
        <v>0</v>
      </c>
      <c r="G189" s="468"/>
      <c r="H189" s="133"/>
    </row>
    <row r="190" spans="2:9" ht="15.5" x14ac:dyDescent="0.35">
      <c r="B190" s="396">
        <v>369</v>
      </c>
      <c r="C190" s="392" t="s">
        <v>969</v>
      </c>
      <c r="D190" s="488"/>
      <c r="E190" s="509"/>
      <c r="F190" s="463">
        <f t="shared" si="36"/>
        <v>0</v>
      </c>
      <c r="G190" s="468"/>
      <c r="H190" s="133"/>
    </row>
    <row r="191" spans="2:9" ht="15.5" x14ac:dyDescent="0.35">
      <c r="B191" s="165" t="s">
        <v>970</v>
      </c>
      <c r="C191" s="166" t="s">
        <v>971</v>
      </c>
      <c r="D191" s="461">
        <f t="shared" ref="D191:E191" si="46">D192+D196+D200+D204+D208+D212+D221+D223</f>
        <v>281930723.11000001</v>
      </c>
      <c r="E191" s="461">
        <f t="shared" si="46"/>
        <v>864919251.48000002</v>
      </c>
      <c r="F191" s="456">
        <f t="shared" si="36"/>
        <v>-582988528.37</v>
      </c>
      <c r="G191" s="470">
        <f>G192+G196+G200+G204+G208+G212+G221+G223</f>
        <v>0</v>
      </c>
      <c r="H191" s="133"/>
      <c r="I191" s="72"/>
    </row>
    <row r="192" spans="2:9" ht="15.5" x14ac:dyDescent="0.35">
      <c r="B192" s="404" t="s">
        <v>972</v>
      </c>
      <c r="C192" s="405" t="s">
        <v>973</v>
      </c>
      <c r="D192" s="457">
        <f t="shared" ref="D192:E192" si="47">SUM(D193:D195)</f>
        <v>0</v>
      </c>
      <c r="E192" s="457">
        <f t="shared" si="47"/>
        <v>0</v>
      </c>
      <c r="F192" s="457">
        <f t="shared" si="36"/>
        <v>0</v>
      </c>
      <c r="G192" s="467">
        <f>SUM(G193:G195)</f>
        <v>0</v>
      </c>
      <c r="H192" s="133"/>
    </row>
    <row r="193" spans="2:8" ht="15.5" x14ac:dyDescent="0.35">
      <c r="B193" s="380" t="s">
        <v>974</v>
      </c>
      <c r="C193" s="381" t="s">
        <v>975</v>
      </c>
      <c r="D193" s="485"/>
      <c r="E193" s="506"/>
      <c r="F193" s="463">
        <f t="shared" si="36"/>
        <v>0</v>
      </c>
      <c r="G193" s="468"/>
      <c r="H193" s="133"/>
    </row>
    <row r="194" spans="2:8" ht="15.5" x14ac:dyDescent="0.35">
      <c r="B194" s="378">
        <v>3712</v>
      </c>
      <c r="C194" s="381" t="s">
        <v>976</v>
      </c>
      <c r="D194" s="485"/>
      <c r="E194" s="506"/>
      <c r="F194" s="463">
        <f t="shared" si="36"/>
        <v>0</v>
      </c>
      <c r="G194" s="468"/>
      <c r="H194" s="133"/>
    </row>
    <row r="195" spans="2:8" ht="15.5" x14ac:dyDescent="0.35">
      <c r="B195" s="378">
        <v>3713</v>
      </c>
      <c r="C195" s="381" t="s">
        <v>977</v>
      </c>
      <c r="D195" s="485"/>
      <c r="E195" s="506"/>
      <c r="F195" s="463">
        <f t="shared" si="36"/>
        <v>0</v>
      </c>
      <c r="G195" s="468"/>
      <c r="H195" s="133"/>
    </row>
    <row r="196" spans="2:8" ht="15.5" x14ac:dyDescent="0.35">
      <c r="B196" s="408">
        <v>372</v>
      </c>
      <c r="C196" s="407" t="s">
        <v>978</v>
      </c>
      <c r="D196" s="457">
        <f t="shared" ref="D196:E196" si="48">SUM(D197:D199)</f>
        <v>0</v>
      </c>
      <c r="E196" s="457">
        <f t="shared" si="48"/>
        <v>0</v>
      </c>
      <c r="F196" s="457">
        <f t="shared" si="36"/>
        <v>0</v>
      </c>
      <c r="G196" s="467">
        <f>SUM(G197:G199)</f>
        <v>0</v>
      </c>
      <c r="H196" s="133"/>
    </row>
    <row r="197" spans="2:8" ht="15.5" x14ac:dyDescent="0.35">
      <c r="B197" s="378">
        <v>3721</v>
      </c>
      <c r="C197" s="381" t="s">
        <v>975</v>
      </c>
      <c r="D197" s="485"/>
      <c r="E197" s="506"/>
      <c r="F197" s="463">
        <f t="shared" si="36"/>
        <v>0</v>
      </c>
      <c r="G197" s="468"/>
      <c r="H197" s="133"/>
    </row>
    <row r="198" spans="2:8" ht="15.5" x14ac:dyDescent="0.35">
      <c r="B198" s="378">
        <v>3722</v>
      </c>
      <c r="C198" s="381" t="s">
        <v>976</v>
      </c>
      <c r="D198" s="485"/>
      <c r="E198" s="506"/>
      <c r="F198" s="463">
        <f t="shared" si="36"/>
        <v>0</v>
      </c>
      <c r="G198" s="468"/>
      <c r="H198" s="133"/>
    </row>
    <row r="199" spans="2:8" ht="15.5" x14ac:dyDescent="0.35">
      <c r="B199" s="378">
        <v>3723</v>
      </c>
      <c r="C199" s="381" t="s">
        <v>977</v>
      </c>
      <c r="D199" s="485"/>
      <c r="E199" s="506"/>
      <c r="F199" s="463">
        <f t="shared" si="36"/>
        <v>0</v>
      </c>
      <c r="G199" s="468"/>
      <c r="H199" s="133"/>
    </row>
    <row r="200" spans="2:8" ht="15.5" x14ac:dyDescent="0.35">
      <c r="B200" s="408">
        <v>373</v>
      </c>
      <c r="C200" s="407" t="s">
        <v>979</v>
      </c>
      <c r="D200" s="457">
        <f t="shared" ref="D200:E200" si="49">SUM(D201:D203)</f>
        <v>0</v>
      </c>
      <c r="E200" s="457">
        <f t="shared" si="49"/>
        <v>0</v>
      </c>
      <c r="F200" s="457">
        <f t="shared" si="36"/>
        <v>0</v>
      </c>
      <c r="G200" s="467">
        <f>SUM(G201:G203)</f>
        <v>0</v>
      </c>
      <c r="H200" s="133"/>
    </row>
    <row r="201" spans="2:8" ht="15.5" x14ac:dyDescent="0.35">
      <c r="B201" s="378">
        <v>3731</v>
      </c>
      <c r="C201" s="381" t="s">
        <v>420</v>
      </c>
      <c r="D201" s="485"/>
      <c r="E201" s="506"/>
      <c r="F201" s="463">
        <f t="shared" ref="F201:F265" si="50">IF(D201&gt;=E201,D201-E201,D201-E201)</f>
        <v>0</v>
      </c>
      <c r="G201" s="468"/>
      <c r="H201" s="133"/>
    </row>
    <row r="202" spans="2:8" ht="15.5" x14ac:dyDescent="0.35">
      <c r="B202" s="378">
        <v>3732</v>
      </c>
      <c r="C202" s="383" t="s">
        <v>980</v>
      </c>
      <c r="D202" s="486"/>
      <c r="E202" s="507"/>
      <c r="F202" s="463">
        <f t="shared" si="50"/>
        <v>0</v>
      </c>
      <c r="G202" s="468"/>
      <c r="H202" s="133"/>
    </row>
    <row r="203" spans="2:8" ht="15.5" x14ac:dyDescent="0.35">
      <c r="B203" s="378">
        <v>3733</v>
      </c>
      <c r="C203" s="381" t="s">
        <v>981</v>
      </c>
      <c r="D203" s="485"/>
      <c r="E203" s="506"/>
      <c r="F203" s="463">
        <f t="shared" si="50"/>
        <v>0</v>
      </c>
      <c r="G203" s="468"/>
      <c r="H203" s="133"/>
    </row>
    <row r="204" spans="2:8" ht="15.5" x14ac:dyDescent="0.35">
      <c r="B204" s="408" t="s">
        <v>982</v>
      </c>
      <c r="C204" s="405" t="s">
        <v>983</v>
      </c>
      <c r="D204" s="457">
        <f>SUM(D205:D207)</f>
        <v>177373626.23999998</v>
      </c>
      <c r="E204" s="457">
        <f>SUM(E205:E207)</f>
        <v>222313157.19</v>
      </c>
      <c r="F204" s="457">
        <f t="shared" si="50"/>
        <v>-44939530.950000018</v>
      </c>
      <c r="G204" s="467">
        <f>G205+G207</f>
        <v>0</v>
      </c>
      <c r="H204" s="133"/>
    </row>
    <row r="205" spans="2:8" ht="15.5" x14ac:dyDescent="0.35">
      <c r="B205" s="390">
        <v>3742</v>
      </c>
      <c r="C205" s="383" t="s">
        <v>1783</v>
      </c>
      <c r="D205" s="486">
        <v>1899050</v>
      </c>
      <c r="E205" s="507">
        <v>2899050</v>
      </c>
      <c r="F205" s="463">
        <f t="shared" si="50"/>
        <v>-1000000</v>
      </c>
      <c r="G205" s="468"/>
      <c r="H205" s="133"/>
    </row>
    <row r="206" spans="2:8" ht="15.5" x14ac:dyDescent="0.35">
      <c r="B206" s="378">
        <v>3743</v>
      </c>
      <c r="C206" s="389" t="s">
        <v>1784</v>
      </c>
      <c r="D206" s="486">
        <v>10241601.73</v>
      </c>
      <c r="E206" s="507">
        <v>219414107.19</v>
      </c>
      <c r="F206" s="605"/>
      <c r="G206" s="606"/>
      <c r="H206" s="133"/>
    </row>
    <row r="207" spans="2:8" ht="15.5" x14ac:dyDescent="0.35">
      <c r="B207" s="378">
        <v>3749</v>
      </c>
      <c r="C207" s="389" t="s">
        <v>988</v>
      </c>
      <c r="D207" s="487">
        <v>165232974.50999999</v>
      </c>
      <c r="E207" s="508"/>
      <c r="F207" s="463">
        <f t="shared" si="50"/>
        <v>165232974.50999999</v>
      </c>
      <c r="G207" s="468"/>
      <c r="H207" s="133"/>
    </row>
    <row r="208" spans="2:8" ht="15.5" x14ac:dyDescent="0.35">
      <c r="B208" s="409" t="s">
        <v>984</v>
      </c>
      <c r="C208" s="407" t="s">
        <v>985</v>
      </c>
      <c r="D208" s="457">
        <f t="shared" ref="D208:E208" si="51">D209+D210+D211</f>
        <v>104557096.87</v>
      </c>
      <c r="E208" s="457">
        <f t="shared" si="51"/>
        <v>199344901.03999999</v>
      </c>
      <c r="F208" s="457">
        <f t="shared" si="50"/>
        <v>-94787804.169999987</v>
      </c>
      <c r="G208" s="467">
        <f>G209+G210</f>
        <v>0</v>
      </c>
      <c r="H208" s="133"/>
    </row>
    <row r="209" spans="2:9" ht="15.5" x14ac:dyDescent="0.35">
      <c r="B209" s="378" t="s">
        <v>986</v>
      </c>
      <c r="C209" s="379" t="s">
        <v>985</v>
      </c>
      <c r="D209" s="484">
        <v>80233570.510000005</v>
      </c>
      <c r="E209" s="505">
        <v>182011589.72</v>
      </c>
      <c r="F209" s="463">
        <f t="shared" si="50"/>
        <v>-101778019.20999999</v>
      </c>
      <c r="G209" s="468"/>
      <c r="H209" s="133"/>
    </row>
    <row r="210" spans="2:9" ht="15.5" x14ac:dyDescent="0.35">
      <c r="B210" s="390">
        <v>3752</v>
      </c>
      <c r="C210" s="383" t="s">
        <v>987</v>
      </c>
      <c r="D210" s="486"/>
      <c r="E210" s="507"/>
      <c r="F210" s="463">
        <f t="shared" si="50"/>
        <v>0</v>
      </c>
      <c r="G210" s="468"/>
      <c r="H210" s="133"/>
    </row>
    <row r="211" spans="2:9" ht="15.5" x14ac:dyDescent="0.35">
      <c r="B211" s="378">
        <v>3757</v>
      </c>
      <c r="C211" s="383" t="s">
        <v>1785</v>
      </c>
      <c r="D211" s="486">
        <v>24323526.359999999</v>
      </c>
      <c r="E211" s="507">
        <v>17333311.32</v>
      </c>
      <c r="F211" s="463">
        <f t="shared" si="50"/>
        <v>6990215.0399999991</v>
      </c>
      <c r="G211" s="468"/>
      <c r="H211" s="133"/>
    </row>
    <row r="212" spans="2:9" ht="15.5" x14ac:dyDescent="0.35">
      <c r="B212" s="408" t="s">
        <v>989</v>
      </c>
      <c r="C212" s="405" t="s">
        <v>990</v>
      </c>
      <c r="D212" s="457">
        <f t="shared" ref="D212:E212" si="52">SUM(D213:D214)+D215+SUM(D218:D220)</f>
        <v>0</v>
      </c>
      <c r="E212" s="457">
        <f t="shared" si="52"/>
        <v>0</v>
      </c>
      <c r="F212" s="457">
        <f t="shared" si="50"/>
        <v>0</v>
      </c>
      <c r="G212" s="469">
        <f>SUM(G213:G214)+G215+SUM(G218:G220)</f>
        <v>0</v>
      </c>
      <c r="H212" s="133"/>
    </row>
    <row r="213" spans="2:9" ht="15.5" x14ac:dyDescent="0.35">
      <c r="B213" s="390">
        <v>3761</v>
      </c>
      <c r="C213" s="381" t="s">
        <v>991</v>
      </c>
      <c r="D213" s="485"/>
      <c r="E213" s="506"/>
      <c r="F213" s="463">
        <f t="shared" si="50"/>
        <v>0</v>
      </c>
      <c r="G213" s="468"/>
      <c r="H213" s="133"/>
    </row>
    <row r="214" spans="2:9" ht="15.5" x14ac:dyDescent="0.35">
      <c r="B214" s="378">
        <v>3762</v>
      </c>
      <c r="C214" s="379" t="s">
        <v>992</v>
      </c>
      <c r="D214" s="484"/>
      <c r="E214" s="505"/>
      <c r="F214" s="463">
        <f t="shared" si="50"/>
        <v>0</v>
      </c>
      <c r="G214" s="468"/>
      <c r="H214" s="133"/>
    </row>
    <row r="215" spans="2:9" ht="15.5" x14ac:dyDescent="0.35">
      <c r="B215" s="411">
        <v>3763</v>
      </c>
      <c r="C215" s="412" t="s">
        <v>993</v>
      </c>
      <c r="D215" s="462">
        <f t="shared" ref="D215:E215" si="53">SUM(D216:D217)</f>
        <v>0</v>
      </c>
      <c r="E215" s="462">
        <f t="shared" si="53"/>
        <v>0</v>
      </c>
      <c r="F215" s="457">
        <f t="shared" si="50"/>
        <v>0</v>
      </c>
      <c r="G215" s="476">
        <f>SUM(G216:G217)</f>
        <v>0</v>
      </c>
      <c r="H215" s="133"/>
    </row>
    <row r="216" spans="2:9" ht="15.5" x14ac:dyDescent="0.35">
      <c r="B216" s="378">
        <v>37631</v>
      </c>
      <c r="C216" s="381" t="s">
        <v>994</v>
      </c>
      <c r="D216" s="485"/>
      <c r="E216" s="506"/>
      <c r="F216" s="463">
        <f t="shared" si="50"/>
        <v>0</v>
      </c>
      <c r="G216" s="468"/>
      <c r="H216" s="133"/>
      <c r="I216" s="71"/>
    </row>
    <row r="217" spans="2:9" ht="15.5" x14ac:dyDescent="0.35">
      <c r="B217" s="378">
        <v>37632</v>
      </c>
      <c r="C217" s="381" t="s">
        <v>995</v>
      </c>
      <c r="D217" s="485"/>
      <c r="E217" s="506"/>
      <c r="F217" s="463">
        <f t="shared" si="50"/>
        <v>0</v>
      </c>
      <c r="G217" s="468"/>
      <c r="H217" s="133"/>
    </row>
    <row r="218" spans="2:9" ht="15.5" x14ac:dyDescent="0.35">
      <c r="B218" s="378">
        <v>3764</v>
      </c>
      <c r="C218" s="379" t="s">
        <v>996</v>
      </c>
      <c r="D218" s="484"/>
      <c r="E218" s="505"/>
      <c r="F218" s="463">
        <f t="shared" si="50"/>
        <v>0</v>
      </c>
      <c r="G218" s="468"/>
      <c r="H218" s="133"/>
    </row>
    <row r="219" spans="2:9" ht="15.5" x14ac:dyDescent="0.35">
      <c r="B219" s="378">
        <v>3765</v>
      </c>
      <c r="C219" s="379" t="s">
        <v>997</v>
      </c>
      <c r="D219" s="484"/>
      <c r="E219" s="505"/>
      <c r="F219" s="463">
        <f t="shared" si="50"/>
        <v>0</v>
      </c>
      <c r="G219" s="468"/>
      <c r="H219" s="133"/>
    </row>
    <row r="220" spans="2:9" ht="15.5" x14ac:dyDescent="0.35">
      <c r="B220" s="378">
        <v>3766</v>
      </c>
      <c r="C220" s="379" t="s">
        <v>998</v>
      </c>
      <c r="D220" s="484"/>
      <c r="E220" s="505"/>
      <c r="F220" s="463">
        <f t="shared" si="50"/>
        <v>0</v>
      </c>
      <c r="G220" s="468"/>
      <c r="H220" s="133"/>
    </row>
    <row r="221" spans="2:9" ht="15.5" x14ac:dyDescent="0.35">
      <c r="B221" s="409">
        <v>377</v>
      </c>
      <c r="C221" s="407" t="s">
        <v>999</v>
      </c>
      <c r="D221" s="457">
        <f t="shared" ref="D221:E221" si="54">D222</f>
        <v>0</v>
      </c>
      <c r="E221" s="457">
        <f t="shared" si="54"/>
        <v>0</v>
      </c>
      <c r="F221" s="457">
        <f t="shared" si="50"/>
        <v>0</v>
      </c>
      <c r="G221" s="467">
        <f>G222</f>
        <v>0</v>
      </c>
      <c r="H221" s="133"/>
    </row>
    <row r="222" spans="2:9" ht="15.5" x14ac:dyDescent="0.35">
      <c r="B222" s="378">
        <v>3771</v>
      </c>
      <c r="C222" s="379" t="s">
        <v>1000</v>
      </c>
      <c r="D222" s="484"/>
      <c r="E222" s="505"/>
      <c r="F222" s="463">
        <f t="shared" si="50"/>
        <v>0</v>
      </c>
      <c r="G222" s="468"/>
      <c r="H222" s="133"/>
    </row>
    <row r="223" spans="2:9" ht="15.5" x14ac:dyDescent="0.35">
      <c r="B223" s="406" t="s">
        <v>1001</v>
      </c>
      <c r="C223" s="407" t="s">
        <v>971</v>
      </c>
      <c r="D223" s="457">
        <f t="shared" ref="D223:E223" si="55">D224+D225</f>
        <v>0</v>
      </c>
      <c r="E223" s="457">
        <f t="shared" si="55"/>
        <v>443261193.25</v>
      </c>
      <c r="F223" s="457">
        <f t="shared" si="50"/>
        <v>-443261193.25</v>
      </c>
      <c r="G223" s="467">
        <f>G224+G225</f>
        <v>0</v>
      </c>
      <c r="H223" s="133"/>
    </row>
    <row r="224" spans="2:9" ht="15.5" x14ac:dyDescent="0.35">
      <c r="B224" s="382" t="s">
        <v>1002</v>
      </c>
      <c r="C224" s="379" t="s">
        <v>172</v>
      </c>
      <c r="D224" s="484">
        <v>0</v>
      </c>
      <c r="E224" s="505"/>
      <c r="F224" s="463">
        <f t="shared" si="50"/>
        <v>0</v>
      </c>
      <c r="G224" s="468"/>
      <c r="H224" s="133"/>
    </row>
    <row r="225" spans="2:8" ht="15.5" x14ac:dyDescent="0.35">
      <c r="B225" s="380" t="s">
        <v>1003</v>
      </c>
      <c r="C225" s="381" t="s">
        <v>321</v>
      </c>
      <c r="D225" s="485"/>
      <c r="E225" s="506">
        <v>443261193.25</v>
      </c>
      <c r="F225" s="463">
        <f t="shared" si="50"/>
        <v>-443261193.25</v>
      </c>
      <c r="G225" s="468"/>
      <c r="H225" s="133"/>
    </row>
    <row r="226" spans="2:8" ht="15.5" x14ac:dyDescent="0.35">
      <c r="B226" s="174" t="s">
        <v>1004</v>
      </c>
      <c r="C226" s="175" t="s">
        <v>1005</v>
      </c>
      <c r="D226" s="456">
        <f t="shared" ref="D226:E226" si="56">D227+SUM(D231:D235)</f>
        <v>0</v>
      </c>
      <c r="E226" s="456">
        <f t="shared" si="56"/>
        <v>242836783.87</v>
      </c>
      <c r="F226" s="456">
        <f t="shared" si="50"/>
        <v>-242836783.87</v>
      </c>
      <c r="G226" s="470">
        <f>G227+SUM(G231:G235)</f>
        <v>0</v>
      </c>
      <c r="H226" s="133"/>
    </row>
    <row r="227" spans="2:8" ht="15.5" x14ac:dyDescent="0.35">
      <c r="B227" s="408" t="s">
        <v>1006</v>
      </c>
      <c r="C227" s="410" t="s">
        <v>1007</v>
      </c>
      <c r="D227" s="457">
        <f t="shared" ref="D227:E227" si="57">SUM(D228:D230)</f>
        <v>0</v>
      </c>
      <c r="E227" s="457">
        <f t="shared" si="57"/>
        <v>242836783.87</v>
      </c>
      <c r="F227" s="457">
        <f t="shared" si="50"/>
        <v>-242836783.87</v>
      </c>
      <c r="G227" s="467">
        <f>SUM(G228:G230)</f>
        <v>0</v>
      </c>
      <c r="H227" s="133"/>
    </row>
    <row r="228" spans="2:8" ht="15.5" x14ac:dyDescent="0.35">
      <c r="B228" s="390">
        <v>3811</v>
      </c>
      <c r="C228" s="387" t="s">
        <v>894</v>
      </c>
      <c r="D228" s="492">
        <v>0</v>
      </c>
      <c r="E228" s="513">
        <v>242836783.87</v>
      </c>
      <c r="F228" s="463">
        <f t="shared" si="50"/>
        <v>-242836783.87</v>
      </c>
      <c r="G228" s="468"/>
      <c r="H228" s="133"/>
    </row>
    <row r="229" spans="2:8" ht="15.5" x14ac:dyDescent="0.35">
      <c r="B229" s="378">
        <v>3812</v>
      </c>
      <c r="C229" s="387" t="s">
        <v>1008</v>
      </c>
      <c r="D229" s="492"/>
      <c r="E229" s="513"/>
      <c r="F229" s="463">
        <f t="shared" si="50"/>
        <v>0</v>
      </c>
      <c r="G229" s="468"/>
      <c r="H229" s="133"/>
    </row>
    <row r="230" spans="2:8" ht="15.5" x14ac:dyDescent="0.35">
      <c r="B230" s="378">
        <v>3813</v>
      </c>
      <c r="C230" s="387" t="s">
        <v>1009</v>
      </c>
      <c r="D230" s="492"/>
      <c r="E230" s="513"/>
      <c r="F230" s="463">
        <f t="shared" si="50"/>
        <v>0</v>
      </c>
      <c r="G230" s="468"/>
      <c r="H230" s="133"/>
    </row>
    <row r="231" spans="2:8" ht="15.5" x14ac:dyDescent="0.35">
      <c r="B231" s="384">
        <v>382</v>
      </c>
      <c r="C231" s="398" t="s">
        <v>1010</v>
      </c>
      <c r="D231" s="491"/>
      <c r="E231" s="512"/>
      <c r="F231" s="463">
        <f t="shared" si="50"/>
        <v>0</v>
      </c>
      <c r="G231" s="468"/>
      <c r="H231" s="133"/>
    </row>
    <row r="232" spans="2:8" ht="15.5" x14ac:dyDescent="0.35">
      <c r="B232" s="384">
        <v>383</v>
      </c>
      <c r="C232" s="398" t="s">
        <v>1011</v>
      </c>
      <c r="D232" s="491"/>
      <c r="E232" s="512"/>
      <c r="F232" s="463">
        <f t="shared" si="50"/>
        <v>0</v>
      </c>
      <c r="G232" s="468"/>
      <c r="H232" s="133"/>
    </row>
    <row r="233" spans="2:8" ht="15.5" x14ac:dyDescent="0.35">
      <c r="B233" s="384">
        <v>384</v>
      </c>
      <c r="C233" s="398" t="s">
        <v>1012</v>
      </c>
      <c r="D233" s="491"/>
      <c r="E233" s="512"/>
      <c r="F233" s="463">
        <f t="shared" si="50"/>
        <v>0</v>
      </c>
      <c r="G233" s="468"/>
      <c r="H233" s="133"/>
    </row>
    <row r="234" spans="2:8" ht="15.5" x14ac:dyDescent="0.35">
      <c r="B234" s="384">
        <v>385</v>
      </c>
      <c r="C234" s="398" t="s">
        <v>1013</v>
      </c>
      <c r="D234" s="491"/>
      <c r="E234" s="512"/>
      <c r="F234" s="463">
        <f t="shared" si="50"/>
        <v>0</v>
      </c>
      <c r="G234" s="468"/>
      <c r="H234" s="133"/>
    </row>
    <row r="235" spans="2:8" ht="15.5" x14ac:dyDescent="0.35">
      <c r="B235" s="384">
        <v>389</v>
      </c>
      <c r="C235" s="413" t="s">
        <v>1014</v>
      </c>
      <c r="D235" s="457">
        <f t="shared" ref="D235:E235" si="58">SUM(D236:D237)</f>
        <v>0</v>
      </c>
      <c r="E235" s="457">
        <f t="shared" si="58"/>
        <v>0</v>
      </c>
      <c r="F235" s="457">
        <f t="shared" si="50"/>
        <v>0</v>
      </c>
      <c r="G235" s="467">
        <f>G236</f>
        <v>0</v>
      </c>
      <c r="H235" s="133"/>
    </row>
    <row r="236" spans="2:8" ht="15.5" x14ac:dyDescent="0.35">
      <c r="B236" s="378">
        <v>3891</v>
      </c>
      <c r="C236" s="387" t="s">
        <v>1015</v>
      </c>
      <c r="D236" s="492"/>
      <c r="E236" s="513"/>
      <c r="F236" s="463">
        <f t="shared" si="50"/>
        <v>0</v>
      </c>
      <c r="G236" s="468"/>
      <c r="H236" s="133"/>
    </row>
    <row r="237" spans="2:8" ht="15.5" x14ac:dyDescent="0.35">
      <c r="B237" s="385">
        <v>3892</v>
      </c>
      <c r="C237" s="387" t="s">
        <v>1016</v>
      </c>
      <c r="D237" s="492"/>
      <c r="E237" s="513"/>
      <c r="F237" s="463">
        <f t="shared" si="50"/>
        <v>0</v>
      </c>
      <c r="G237" s="468"/>
      <c r="H237" s="133"/>
    </row>
    <row r="238" spans="2:8" ht="15.5" x14ac:dyDescent="0.35">
      <c r="B238" s="167" t="s">
        <v>1017</v>
      </c>
      <c r="C238" s="168" t="s">
        <v>303</v>
      </c>
      <c r="D238" s="461">
        <f t="shared" ref="D238:E238" si="59">SUM(D239:D243)</f>
        <v>0</v>
      </c>
      <c r="E238" s="461">
        <f t="shared" si="59"/>
        <v>0</v>
      </c>
      <c r="F238" s="456">
        <f t="shared" si="50"/>
        <v>0</v>
      </c>
      <c r="G238" s="470">
        <f>SUM(G239:G243)</f>
        <v>0</v>
      </c>
      <c r="H238" s="133"/>
    </row>
    <row r="239" spans="2:8" ht="15.5" x14ac:dyDescent="0.35">
      <c r="B239" s="396">
        <v>391</v>
      </c>
      <c r="C239" s="392" t="s">
        <v>300</v>
      </c>
      <c r="D239" s="488"/>
      <c r="E239" s="509"/>
      <c r="F239" s="463">
        <f t="shared" si="50"/>
        <v>0</v>
      </c>
      <c r="G239" s="468"/>
      <c r="H239" s="133"/>
    </row>
    <row r="240" spans="2:8" ht="15.5" x14ac:dyDescent="0.35">
      <c r="B240" s="384">
        <v>392</v>
      </c>
      <c r="C240" s="392" t="s">
        <v>1018</v>
      </c>
      <c r="D240" s="488"/>
      <c r="E240" s="509"/>
      <c r="F240" s="463">
        <f t="shared" si="50"/>
        <v>0</v>
      </c>
      <c r="G240" s="468"/>
      <c r="H240" s="133"/>
    </row>
    <row r="241" spans="2:8" ht="15.5" x14ac:dyDescent="0.35">
      <c r="B241" s="384">
        <v>393</v>
      </c>
      <c r="C241" s="392" t="s">
        <v>1019</v>
      </c>
      <c r="D241" s="488"/>
      <c r="E241" s="509"/>
      <c r="F241" s="463">
        <f t="shared" si="50"/>
        <v>0</v>
      </c>
      <c r="G241" s="468"/>
      <c r="H241" s="133"/>
    </row>
    <row r="242" spans="2:8" ht="15.5" x14ac:dyDescent="0.35">
      <c r="B242" s="384">
        <v>394</v>
      </c>
      <c r="C242" s="392" t="s">
        <v>1020</v>
      </c>
      <c r="D242" s="488"/>
      <c r="E242" s="509"/>
      <c r="F242" s="463">
        <f t="shared" si="50"/>
        <v>0</v>
      </c>
      <c r="G242" s="468"/>
      <c r="H242" s="133"/>
    </row>
    <row r="243" spans="2:8" ht="15.5" x14ac:dyDescent="0.35">
      <c r="B243" s="384">
        <v>399</v>
      </c>
      <c r="C243" s="392" t="s">
        <v>303</v>
      </c>
      <c r="D243" s="488"/>
      <c r="E243" s="509"/>
      <c r="F243" s="463">
        <f t="shared" si="50"/>
        <v>0</v>
      </c>
      <c r="G243" s="468"/>
      <c r="H243" s="133"/>
    </row>
    <row r="244" spans="2:8" ht="15.5" x14ac:dyDescent="0.35">
      <c r="B244" s="177" t="s">
        <v>1021</v>
      </c>
      <c r="C244" s="178" t="s">
        <v>1022</v>
      </c>
      <c r="D244" s="455">
        <f t="shared" ref="D244:E244" si="60">D245+D249+D252+D255+D261+D264</f>
        <v>6374545301.54</v>
      </c>
      <c r="E244" s="455">
        <f t="shared" si="60"/>
        <v>6321887808.8900003</v>
      </c>
      <c r="F244" s="455">
        <f t="shared" si="50"/>
        <v>52657492.649999619</v>
      </c>
      <c r="G244" s="474">
        <f>G245+G249+G252+G255+G261-G264</f>
        <v>0</v>
      </c>
      <c r="H244" s="133"/>
    </row>
    <row r="245" spans="2:8" ht="15.5" x14ac:dyDescent="0.35">
      <c r="B245" s="170">
        <v>41</v>
      </c>
      <c r="C245" s="166" t="s">
        <v>1023</v>
      </c>
      <c r="D245" s="456">
        <f t="shared" ref="D245:E245" si="61">SUM(D246:D248)</f>
        <v>0</v>
      </c>
      <c r="E245" s="456">
        <f t="shared" si="61"/>
        <v>0</v>
      </c>
      <c r="F245" s="456">
        <f t="shared" si="50"/>
        <v>0</v>
      </c>
      <c r="G245" s="470">
        <f>SUM(G246:G248)</f>
        <v>0</v>
      </c>
      <c r="H245" s="133"/>
    </row>
    <row r="246" spans="2:8" ht="15.5" x14ac:dyDescent="0.35">
      <c r="B246" s="384">
        <v>411</v>
      </c>
      <c r="C246" s="392" t="s">
        <v>1024</v>
      </c>
      <c r="D246" s="488"/>
      <c r="E246" s="509"/>
      <c r="F246" s="463">
        <f t="shared" si="50"/>
        <v>0</v>
      </c>
      <c r="G246" s="468"/>
      <c r="H246" s="133"/>
    </row>
    <row r="247" spans="2:8" ht="15.5" x14ac:dyDescent="0.35">
      <c r="B247" s="384">
        <v>412</v>
      </c>
      <c r="C247" s="392" t="s">
        <v>1025</v>
      </c>
      <c r="D247" s="488"/>
      <c r="E247" s="509"/>
      <c r="F247" s="463">
        <f t="shared" si="50"/>
        <v>0</v>
      </c>
      <c r="G247" s="468"/>
      <c r="H247" s="133"/>
    </row>
    <row r="248" spans="2:8" ht="15.5" x14ac:dyDescent="0.35">
      <c r="B248" s="384">
        <v>413</v>
      </c>
      <c r="C248" s="392" t="s">
        <v>1026</v>
      </c>
      <c r="D248" s="488"/>
      <c r="E248" s="509"/>
      <c r="F248" s="463">
        <f t="shared" si="50"/>
        <v>0</v>
      </c>
      <c r="G248" s="468"/>
      <c r="H248" s="133"/>
    </row>
    <row r="249" spans="2:8" ht="15.5" x14ac:dyDescent="0.35">
      <c r="B249" s="167" t="s">
        <v>1027</v>
      </c>
      <c r="C249" s="168" t="s">
        <v>1028</v>
      </c>
      <c r="D249" s="456">
        <f t="shared" ref="D249:E249" si="62">D250+D251</f>
        <v>2400000</v>
      </c>
      <c r="E249" s="456">
        <f t="shared" si="62"/>
        <v>0</v>
      </c>
      <c r="F249" s="456">
        <f t="shared" si="50"/>
        <v>2400000</v>
      </c>
      <c r="G249" s="470">
        <f>G250+G251</f>
        <v>0</v>
      </c>
      <c r="H249" s="133"/>
    </row>
    <row r="250" spans="2:8" ht="15.5" x14ac:dyDescent="0.35">
      <c r="B250" s="391" t="s">
        <v>1029</v>
      </c>
      <c r="C250" s="392" t="s">
        <v>1030</v>
      </c>
      <c r="D250" s="488">
        <v>2400000</v>
      </c>
      <c r="E250" s="509">
        <v>0</v>
      </c>
      <c r="F250" s="463">
        <f t="shared" si="50"/>
        <v>2400000</v>
      </c>
      <c r="G250" s="468"/>
      <c r="H250" s="133"/>
    </row>
    <row r="251" spans="2:8" ht="15.5" x14ac:dyDescent="0.35">
      <c r="B251" s="384">
        <v>422</v>
      </c>
      <c r="C251" s="393" t="s">
        <v>1031</v>
      </c>
      <c r="D251" s="489"/>
      <c r="E251" s="510"/>
      <c r="F251" s="463">
        <f t="shared" si="50"/>
        <v>0</v>
      </c>
      <c r="G251" s="468"/>
      <c r="H251" s="133"/>
    </row>
    <row r="252" spans="2:8" ht="15.5" x14ac:dyDescent="0.35">
      <c r="B252" s="165" t="s">
        <v>1032</v>
      </c>
      <c r="C252" s="166" t="s">
        <v>1033</v>
      </c>
      <c r="D252" s="456">
        <f t="shared" ref="D252:E252" si="63">D253+D254</f>
        <v>6104784710.0100002</v>
      </c>
      <c r="E252" s="456">
        <f t="shared" si="63"/>
        <v>6055680235.9200001</v>
      </c>
      <c r="F252" s="456">
        <f t="shared" si="50"/>
        <v>49104474.090000153</v>
      </c>
      <c r="G252" s="470">
        <f>G253+G254</f>
        <v>0</v>
      </c>
      <c r="H252" s="133"/>
    </row>
    <row r="253" spans="2:8" ht="15.5" x14ac:dyDescent="0.35">
      <c r="B253" s="391" t="s">
        <v>1034</v>
      </c>
      <c r="C253" s="392" t="s">
        <v>1030</v>
      </c>
      <c r="D253" s="488">
        <v>5974187643</v>
      </c>
      <c r="E253" s="509">
        <v>5929347977.3400002</v>
      </c>
      <c r="F253" s="463">
        <f t="shared" si="50"/>
        <v>44839665.659999847</v>
      </c>
      <c r="G253" s="468"/>
      <c r="H253" s="133"/>
    </row>
    <row r="254" spans="2:8" ht="15.5" x14ac:dyDescent="0.35">
      <c r="B254" s="391" t="s">
        <v>1035</v>
      </c>
      <c r="C254" s="392" t="s">
        <v>1031</v>
      </c>
      <c r="D254" s="488">
        <v>130597067.01000001</v>
      </c>
      <c r="E254" s="509">
        <v>126332258.58</v>
      </c>
      <c r="F254" s="463">
        <f t="shared" si="50"/>
        <v>4264808.4300000072</v>
      </c>
      <c r="G254" s="468"/>
      <c r="H254" s="133"/>
    </row>
    <row r="255" spans="2:8" ht="15.5" x14ac:dyDescent="0.35">
      <c r="B255" s="167" t="s">
        <v>1036</v>
      </c>
      <c r="C255" s="168" t="s">
        <v>1037</v>
      </c>
      <c r="D255" s="456">
        <f t="shared" ref="D255:E255" si="64">SUM(D256:D258)</f>
        <v>267360591.53</v>
      </c>
      <c r="E255" s="456">
        <f t="shared" si="64"/>
        <v>266207572.97</v>
      </c>
      <c r="F255" s="456">
        <f t="shared" si="50"/>
        <v>1153018.5600000024</v>
      </c>
      <c r="G255" s="470">
        <f>SUM(G256:G258)</f>
        <v>0</v>
      </c>
      <c r="H255" s="133"/>
    </row>
    <row r="256" spans="2:8" ht="15.5" x14ac:dyDescent="0.35">
      <c r="B256" s="391" t="s">
        <v>1038</v>
      </c>
      <c r="C256" s="392" t="s">
        <v>1039</v>
      </c>
      <c r="D256" s="488">
        <v>267360591.53</v>
      </c>
      <c r="E256" s="509">
        <v>266207572.97</v>
      </c>
      <c r="F256" s="463">
        <f t="shared" si="50"/>
        <v>1153018.5600000024</v>
      </c>
      <c r="G256" s="468"/>
      <c r="H256" s="133"/>
    </row>
    <row r="257" spans="2:8" ht="15.5" x14ac:dyDescent="0.35">
      <c r="B257" s="384">
        <v>452</v>
      </c>
      <c r="C257" s="397" t="s">
        <v>1040</v>
      </c>
      <c r="D257" s="490"/>
      <c r="E257" s="511"/>
      <c r="F257" s="463">
        <f t="shared" si="50"/>
        <v>0</v>
      </c>
      <c r="G257" s="468"/>
      <c r="H257" s="133"/>
    </row>
    <row r="258" spans="2:8" ht="15.5" x14ac:dyDescent="0.35">
      <c r="B258" s="409">
        <v>453</v>
      </c>
      <c r="C258" s="414" t="s">
        <v>1041</v>
      </c>
      <c r="D258" s="459">
        <f t="shared" ref="D258:E258" si="65">D259+D260</f>
        <v>0</v>
      </c>
      <c r="E258" s="459">
        <f t="shared" si="65"/>
        <v>0</v>
      </c>
      <c r="F258" s="457">
        <f t="shared" si="50"/>
        <v>0</v>
      </c>
      <c r="G258" s="467">
        <f>G259+G260</f>
        <v>0</v>
      </c>
      <c r="H258" s="133"/>
    </row>
    <row r="259" spans="2:8" ht="15.5" x14ac:dyDescent="0.35">
      <c r="B259" s="378">
        <v>4531</v>
      </c>
      <c r="C259" s="399" t="s">
        <v>1042</v>
      </c>
      <c r="D259" s="494"/>
      <c r="E259" s="515"/>
      <c r="F259" s="463">
        <f t="shared" si="50"/>
        <v>0</v>
      </c>
      <c r="G259" s="468"/>
      <c r="H259" s="133"/>
    </row>
    <row r="260" spans="2:8" ht="15.5" x14ac:dyDescent="0.35">
      <c r="B260" s="390">
        <v>4532</v>
      </c>
      <c r="C260" s="387" t="s">
        <v>1043</v>
      </c>
      <c r="D260" s="492"/>
      <c r="E260" s="513"/>
      <c r="F260" s="463">
        <f t="shared" si="50"/>
        <v>0</v>
      </c>
      <c r="G260" s="468"/>
      <c r="H260" s="133"/>
    </row>
    <row r="261" spans="2:8" ht="15.5" x14ac:dyDescent="0.35">
      <c r="B261" s="167" t="s">
        <v>1044</v>
      </c>
      <c r="C261" s="168" t="s">
        <v>1045</v>
      </c>
      <c r="D261" s="456">
        <f t="shared" ref="D261:E261" si="66">D262+D263</f>
        <v>0</v>
      </c>
      <c r="E261" s="456">
        <f t="shared" si="66"/>
        <v>0</v>
      </c>
      <c r="F261" s="456">
        <f t="shared" si="50"/>
        <v>0</v>
      </c>
      <c r="G261" s="470">
        <f>G262+G263</f>
        <v>0</v>
      </c>
      <c r="H261" s="133"/>
    </row>
    <row r="262" spans="2:8" ht="15.5" x14ac:dyDescent="0.35">
      <c r="B262" s="391" t="s">
        <v>1046</v>
      </c>
      <c r="C262" s="392" t="s">
        <v>1047</v>
      </c>
      <c r="D262" s="488"/>
      <c r="E262" s="509"/>
      <c r="F262" s="463">
        <f t="shared" si="50"/>
        <v>0</v>
      </c>
      <c r="G262" s="468"/>
      <c r="H262" s="133"/>
    </row>
    <row r="263" spans="2:8" ht="15.5" x14ac:dyDescent="0.35">
      <c r="B263" s="395" t="s">
        <v>1048</v>
      </c>
      <c r="C263" s="393" t="s">
        <v>1047</v>
      </c>
      <c r="D263" s="489"/>
      <c r="E263" s="510"/>
      <c r="F263" s="463">
        <f t="shared" si="50"/>
        <v>0</v>
      </c>
      <c r="G263" s="468"/>
      <c r="H263" s="133"/>
    </row>
    <row r="264" spans="2:8" ht="15.5" x14ac:dyDescent="0.35">
      <c r="B264" s="170">
        <v>49</v>
      </c>
      <c r="C264" s="168" t="s">
        <v>1049</v>
      </c>
      <c r="D264" s="456">
        <f t="shared" ref="D264:E264" si="67">D265+D266</f>
        <v>0</v>
      </c>
      <c r="E264" s="456">
        <f t="shared" si="67"/>
        <v>0</v>
      </c>
      <c r="F264" s="456">
        <f t="shared" si="50"/>
        <v>0</v>
      </c>
      <c r="G264" s="470">
        <f>G265+G266</f>
        <v>0</v>
      </c>
      <c r="H264" s="133"/>
    </row>
    <row r="265" spans="2:8" ht="15.5" x14ac:dyDescent="0.35">
      <c r="B265" s="384">
        <v>491</v>
      </c>
      <c r="C265" s="393" t="s">
        <v>1023</v>
      </c>
      <c r="D265" s="489"/>
      <c r="E265" s="510"/>
      <c r="F265" s="463">
        <f t="shared" si="50"/>
        <v>0</v>
      </c>
      <c r="G265" s="468"/>
      <c r="H265" s="133"/>
    </row>
    <row r="266" spans="2:8" ht="15.5" x14ac:dyDescent="0.35">
      <c r="B266" s="384">
        <v>492</v>
      </c>
      <c r="C266" s="393" t="s">
        <v>1050</v>
      </c>
      <c r="D266" s="489"/>
      <c r="E266" s="510"/>
      <c r="F266" s="463">
        <f t="shared" ref="F266:F329" si="68">IF(D266&gt;=E266,D266-E266,D266-E266)</f>
        <v>0</v>
      </c>
      <c r="G266" s="468"/>
      <c r="H266" s="133"/>
    </row>
    <row r="267" spans="2:8" ht="15.5" x14ac:dyDescent="0.35">
      <c r="B267" s="177" t="s">
        <v>1051</v>
      </c>
      <c r="C267" s="178" t="s">
        <v>1052</v>
      </c>
      <c r="D267" s="455">
        <f t="shared" ref="D267:E267" si="69">D268+D270+D274+D276+D278+D282+D285+D287</f>
        <v>0</v>
      </c>
      <c r="E267" s="455">
        <f t="shared" si="69"/>
        <v>262500000</v>
      </c>
      <c r="F267" s="455">
        <f t="shared" si="68"/>
        <v>-262500000</v>
      </c>
      <c r="G267" s="474">
        <f>G268+G270+G274+G276+G278+G282+G285+G287</f>
        <v>0</v>
      </c>
      <c r="H267" s="133"/>
    </row>
    <row r="268" spans="2:8" ht="15.5" x14ac:dyDescent="0.35">
      <c r="B268" s="167" t="s">
        <v>1053</v>
      </c>
      <c r="C268" s="168" t="s">
        <v>1054</v>
      </c>
      <c r="D268" s="456">
        <f t="shared" ref="D268:E268" si="70">D269</f>
        <v>0</v>
      </c>
      <c r="E268" s="456">
        <f t="shared" si="70"/>
        <v>262500000</v>
      </c>
      <c r="F268" s="456">
        <f t="shared" si="68"/>
        <v>-262500000</v>
      </c>
      <c r="G268" s="470">
        <f>G269</f>
        <v>0</v>
      </c>
      <c r="H268" s="133"/>
    </row>
    <row r="269" spans="2:8" ht="15.5" x14ac:dyDescent="0.35">
      <c r="B269" s="391" t="s">
        <v>1055</v>
      </c>
      <c r="C269" s="392" t="s">
        <v>1056</v>
      </c>
      <c r="D269" s="488"/>
      <c r="E269" s="509">
        <v>262500000</v>
      </c>
      <c r="F269" s="463">
        <f t="shared" si="68"/>
        <v>-262500000</v>
      </c>
      <c r="G269" s="468"/>
      <c r="H269" s="133"/>
    </row>
    <row r="270" spans="2:8" ht="15.5" x14ac:dyDescent="0.35">
      <c r="B270" s="170">
        <v>52</v>
      </c>
      <c r="C270" s="166" t="s">
        <v>1057</v>
      </c>
      <c r="D270" s="460">
        <f t="shared" ref="D270:E270" si="71">SUM(D271:D273)</f>
        <v>0</v>
      </c>
      <c r="E270" s="460">
        <f t="shared" si="71"/>
        <v>0</v>
      </c>
      <c r="F270" s="456">
        <f t="shared" si="68"/>
        <v>0</v>
      </c>
      <c r="G270" s="475">
        <f>SUM(G271:G273)</f>
        <v>0</v>
      </c>
      <c r="H270" s="133"/>
    </row>
    <row r="271" spans="2:8" ht="15.5" x14ac:dyDescent="0.35">
      <c r="B271" s="384">
        <v>521</v>
      </c>
      <c r="C271" s="392" t="s">
        <v>1058</v>
      </c>
      <c r="D271" s="488"/>
      <c r="E271" s="509"/>
      <c r="F271" s="463">
        <f t="shared" si="68"/>
        <v>0</v>
      </c>
      <c r="G271" s="477"/>
      <c r="H271" s="133"/>
    </row>
    <row r="272" spans="2:8" ht="15.5" x14ac:dyDescent="0.35">
      <c r="B272" s="384">
        <v>522</v>
      </c>
      <c r="C272" s="392" t="s">
        <v>1059</v>
      </c>
      <c r="D272" s="488"/>
      <c r="E272" s="509"/>
      <c r="F272" s="463">
        <f t="shared" si="68"/>
        <v>0</v>
      </c>
      <c r="G272" s="477"/>
      <c r="H272" s="133"/>
    </row>
    <row r="273" spans="2:8" ht="15.5" x14ac:dyDescent="0.35">
      <c r="B273" s="384">
        <v>523</v>
      </c>
      <c r="C273" s="392" t="s">
        <v>1060</v>
      </c>
      <c r="D273" s="488"/>
      <c r="E273" s="509"/>
      <c r="F273" s="463">
        <f t="shared" si="68"/>
        <v>0</v>
      </c>
      <c r="G273" s="477"/>
      <c r="H273" s="133"/>
    </row>
    <row r="274" spans="2:8" ht="15.5" x14ac:dyDescent="0.35">
      <c r="B274" s="170">
        <v>53</v>
      </c>
      <c r="C274" s="166" t="s">
        <v>1061</v>
      </c>
      <c r="D274" s="460">
        <f t="shared" ref="D274:E274" si="72">D275</f>
        <v>0</v>
      </c>
      <c r="E274" s="460">
        <f t="shared" si="72"/>
        <v>0</v>
      </c>
      <c r="F274" s="456">
        <f t="shared" si="68"/>
        <v>0</v>
      </c>
      <c r="G274" s="475">
        <f>G275</f>
        <v>0</v>
      </c>
      <c r="H274" s="133"/>
    </row>
    <row r="275" spans="2:8" ht="15.5" x14ac:dyDescent="0.35">
      <c r="B275" s="384">
        <v>531</v>
      </c>
      <c r="C275" s="392" t="s">
        <v>1060</v>
      </c>
      <c r="D275" s="488"/>
      <c r="E275" s="509"/>
      <c r="F275" s="463">
        <f t="shared" si="68"/>
        <v>0</v>
      </c>
      <c r="G275" s="468"/>
      <c r="H275" s="133"/>
    </row>
    <row r="276" spans="2:8" ht="15.5" x14ac:dyDescent="0.35">
      <c r="B276" s="179">
        <v>54</v>
      </c>
      <c r="C276" s="180" t="s">
        <v>1062</v>
      </c>
      <c r="D276" s="456">
        <f t="shared" ref="D276:E276" si="73">D277</f>
        <v>0</v>
      </c>
      <c r="E276" s="456">
        <f t="shared" si="73"/>
        <v>0</v>
      </c>
      <c r="F276" s="456">
        <f t="shared" si="68"/>
        <v>0</v>
      </c>
      <c r="G276" s="470">
        <f>G277</f>
        <v>0</v>
      </c>
      <c r="H276" s="133"/>
    </row>
    <row r="277" spans="2:8" ht="15.5" x14ac:dyDescent="0.35">
      <c r="B277" s="384">
        <v>541</v>
      </c>
      <c r="C277" s="392" t="s">
        <v>1062</v>
      </c>
      <c r="D277" s="488"/>
      <c r="E277" s="509"/>
      <c r="F277" s="463">
        <f t="shared" si="68"/>
        <v>0</v>
      </c>
      <c r="G277" s="468"/>
      <c r="H277" s="133"/>
    </row>
    <row r="278" spans="2:8" ht="15.5" x14ac:dyDescent="0.35">
      <c r="B278" s="167" t="s">
        <v>1063</v>
      </c>
      <c r="C278" s="168" t="s">
        <v>1064</v>
      </c>
      <c r="D278" s="456">
        <f t="shared" ref="D278:E278" si="74">SUM(D279:D281)</f>
        <v>0</v>
      </c>
      <c r="E278" s="456">
        <f t="shared" si="74"/>
        <v>0</v>
      </c>
      <c r="F278" s="456">
        <f t="shared" si="68"/>
        <v>0</v>
      </c>
      <c r="G278" s="470">
        <f>SUM(G279:G281)</f>
        <v>0</v>
      </c>
      <c r="H278" s="133"/>
    </row>
    <row r="279" spans="2:8" ht="15.5" x14ac:dyDescent="0.35">
      <c r="B279" s="385">
        <v>551</v>
      </c>
      <c r="C279" s="416" t="s">
        <v>1065</v>
      </c>
      <c r="D279" s="495"/>
      <c r="E279" s="516"/>
      <c r="F279" s="463">
        <f t="shared" si="68"/>
        <v>0</v>
      </c>
      <c r="G279" s="468"/>
      <c r="H279" s="133"/>
    </row>
    <row r="280" spans="2:8" ht="15.5" x14ac:dyDescent="0.35">
      <c r="B280" s="385">
        <v>552</v>
      </c>
      <c r="C280" s="416" t="s">
        <v>1066</v>
      </c>
      <c r="D280" s="495"/>
      <c r="E280" s="516"/>
      <c r="F280" s="463">
        <f t="shared" si="68"/>
        <v>0</v>
      </c>
      <c r="G280" s="468"/>
      <c r="H280" s="133"/>
    </row>
    <row r="281" spans="2:8" ht="15.5" x14ac:dyDescent="0.35">
      <c r="B281" s="396">
        <v>553</v>
      </c>
      <c r="C281" s="392" t="s">
        <v>1067</v>
      </c>
      <c r="D281" s="488"/>
      <c r="E281" s="509"/>
      <c r="F281" s="463">
        <f t="shared" si="68"/>
        <v>0</v>
      </c>
      <c r="G281" s="468"/>
      <c r="H281" s="133"/>
    </row>
    <row r="282" spans="2:8" ht="15.5" x14ac:dyDescent="0.35">
      <c r="B282" s="170">
        <v>56</v>
      </c>
      <c r="C282" s="166" t="s">
        <v>1068</v>
      </c>
      <c r="D282" s="460">
        <f t="shared" ref="D282:E282" si="75">D283+D284</f>
        <v>0</v>
      </c>
      <c r="E282" s="460">
        <f t="shared" si="75"/>
        <v>0</v>
      </c>
      <c r="F282" s="456">
        <f t="shared" si="68"/>
        <v>0</v>
      </c>
      <c r="G282" s="475">
        <f>G283+G284</f>
        <v>0</v>
      </c>
      <c r="H282" s="133"/>
    </row>
    <row r="283" spans="2:8" ht="15.5" x14ac:dyDescent="0.35">
      <c r="B283" s="384">
        <v>561</v>
      </c>
      <c r="C283" s="392" t="s">
        <v>1069</v>
      </c>
      <c r="D283" s="488"/>
      <c r="E283" s="509"/>
      <c r="F283" s="463">
        <f t="shared" si="68"/>
        <v>0</v>
      </c>
      <c r="G283" s="468"/>
      <c r="H283" s="133"/>
    </row>
    <row r="284" spans="2:8" ht="15.5" x14ac:dyDescent="0.35">
      <c r="B284" s="384">
        <v>562</v>
      </c>
      <c r="C284" s="392" t="s">
        <v>1070</v>
      </c>
      <c r="D284" s="488"/>
      <c r="E284" s="509"/>
      <c r="F284" s="463">
        <f t="shared" si="68"/>
        <v>0</v>
      </c>
      <c r="G284" s="468"/>
      <c r="H284" s="133"/>
    </row>
    <row r="285" spans="2:8" ht="15.5" x14ac:dyDescent="0.35">
      <c r="B285" s="170">
        <v>57</v>
      </c>
      <c r="C285" s="166" t="s">
        <v>1071</v>
      </c>
      <c r="D285" s="460">
        <f t="shared" ref="D285:E285" si="76">D286</f>
        <v>0</v>
      </c>
      <c r="E285" s="460">
        <f t="shared" si="76"/>
        <v>0</v>
      </c>
      <c r="F285" s="456">
        <f t="shared" si="68"/>
        <v>0</v>
      </c>
      <c r="G285" s="475">
        <f>G286</f>
        <v>0</v>
      </c>
      <c r="H285" s="133"/>
    </row>
    <row r="286" spans="2:8" ht="15.5" x14ac:dyDescent="0.35">
      <c r="B286" s="384">
        <v>571</v>
      </c>
      <c r="C286" s="392" t="s">
        <v>251</v>
      </c>
      <c r="D286" s="488"/>
      <c r="E286" s="509"/>
      <c r="F286" s="463">
        <f t="shared" si="68"/>
        <v>0</v>
      </c>
      <c r="G286" s="468"/>
      <c r="H286" s="133"/>
    </row>
    <row r="287" spans="2:8" ht="15.5" x14ac:dyDescent="0.35">
      <c r="B287" s="170">
        <v>58</v>
      </c>
      <c r="C287" s="166" t="s">
        <v>1072</v>
      </c>
      <c r="D287" s="456">
        <f t="shared" ref="D287:E287" si="77">D288</f>
        <v>0</v>
      </c>
      <c r="E287" s="456">
        <f t="shared" si="77"/>
        <v>0</v>
      </c>
      <c r="F287" s="456">
        <f t="shared" si="68"/>
        <v>0</v>
      </c>
      <c r="G287" s="470">
        <f>G288</f>
        <v>0</v>
      </c>
      <c r="H287" s="133"/>
    </row>
    <row r="288" spans="2:8" ht="15.5" x14ac:dyDescent="0.35">
      <c r="B288" s="384">
        <v>581</v>
      </c>
      <c r="C288" s="392" t="s">
        <v>1072</v>
      </c>
      <c r="D288" s="488"/>
      <c r="E288" s="509"/>
      <c r="F288" s="463">
        <f t="shared" si="68"/>
        <v>0</v>
      </c>
      <c r="G288" s="468"/>
      <c r="H288" s="133"/>
    </row>
    <row r="289" spans="2:9" ht="15.5" x14ac:dyDescent="0.35">
      <c r="B289" s="179">
        <v>81</v>
      </c>
      <c r="C289" s="180" t="s">
        <v>261</v>
      </c>
      <c r="D289" s="503">
        <f t="shared" ref="D289:E289" si="78">D290</f>
        <v>18333181838.189999</v>
      </c>
      <c r="E289" s="503">
        <f t="shared" si="78"/>
        <v>22926448041.23</v>
      </c>
      <c r="F289" s="456">
        <f t="shared" si="68"/>
        <v>-4593266203.0400009</v>
      </c>
      <c r="G289" s="478">
        <f>G290</f>
        <v>0</v>
      </c>
      <c r="H289" s="602"/>
    </row>
    <row r="290" spans="2:9" ht="15.5" x14ac:dyDescent="0.35">
      <c r="B290" s="408">
        <v>811</v>
      </c>
      <c r="C290" s="407" t="s">
        <v>1073</v>
      </c>
      <c r="D290" s="457">
        <f t="shared" ref="D290:E290" si="79">SUM(D291:D295)</f>
        <v>18333181838.189999</v>
      </c>
      <c r="E290" s="457">
        <f t="shared" si="79"/>
        <v>22926448041.23</v>
      </c>
      <c r="F290" s="457">
        <f t="shared" si="68"/>
        <v>-4593266203.0400009</v>
      </c>
      <c r="G290" s="476"/>
      <c r="H290" s="602"/>
    </row>
    <row r="291" spans="2:9" ht="15.5" x14ac:dyDescent="0.35">
      <c r="B291" s="385">
        <v>8111</v>
      </c>
      <c r="C291" s="392" t="s">
        <v>1074</v>
      </c>
      <c r="D291" s="488">
        <v>18333181838.189999</v>
      </c>
      <c r="E291" s="509">
        <v>22926448041.23</v>
      </c>
      <c r="F291" s="463">
        <f t="shared" si="68"/>
        <v>-4593266203.0400009</v>
      </c>
      <c r="G291" s="468"/>
      <c r="H291" s="602"/>
    </row>
    <row r="292" spans="2:9" ht="15.5" x14ac:dyDescent="0.35">
      <c r="B292" s="385">
        <v>8112</v>
      </c>
      <c r="C292" s="392" t="s">
        <v>1075</v>
      </c>
      <c r="D292" s="488"/>
      <c r="E292" s="509"/>
      <c r="F292" s="463">
        <f t="shared" si="68"/>
        <v>0</v>
      </c>
      <c r="G292" s="468"/>
      <c r="H292" s="602"/>
    </row>
    <row r="293" spans="2:9" ht="15.5" x14ac:dyDescent="0.35">
      <c r="B293" s="385">
        <v>8113</v>
      </c>
      <c r="C293" s="392" t="s">
        <v>1076</v>
      </c>
      <c r="D293" s="488"/>
      <c r="E293" s="509"/>
      <c r="F293" s="463">
        <f t="shared" si="68"/>
        <v>0</v>
      </c>
      <c r="G293" s="468"/>
      <c r="H293" s="602"/>
    </row>
    <row r="294" spans="2:9" ht="15.5" x14ac:dyDescent="0.35">
      <c r="B294" s="385">
        <v>8114</v>
      </c>
      <c r="C294" s="392" t="s">
        <v>1077</v>
      </c>
      <c r="D294" s="488"/>
      <c r="E294" s="509"/>
      <c r="F294" s="463">
        <f t="shared" si="68"/>
        <v>0</v>
      </c>
      <c r="G294" s="468"/>
      <c r="H294" s="602"/>
    </row>
    <row r="295" spans="2:9" ht="15.5" x14ac:dyDescent="0.35">
      <c r="B295" s="385">
        <v>8115</v>
      </c>
      <c r="C295" s="392" t="s">
        <v>1078</v>
      </c>
      <c r="D295" s="488"/>
      <c r="E295" s="509"/>
      <c r="F295" s="463">
        <f t="shared" si="68"/>
        <v>0</v>
      </c>
      <c r="G295" s="468"/>
      <c r="H295" s="602"/>
    </row>
    <row r="296" spans="2:9" ht="15.5" x14ac:dyDescent="0.35">
      <c r="B296" s="179">
        <v>88</v>
      </c>
      <c r="C296" s="180" t="s">
        <v>1079</v>
      </c>
      <c r="D296" s="458">
        <f t="shared" ref="D296:E296" si="80">D457</f>
        <v>-7024518958.1900005</v>
      </c>
      <c r="E296" s="458">
        <f t="shared" si="80"/>
        <v>-5350318765.2400007</v>
      </c>
      <c r="F296" s="463">
        <f t="shared" si="68"/>
        <v>-1674200192.9499998</v>
      </c>
      <c r="G296" s="471">
        <f>G457</f>
        <v>0</v>
      </c>
      <c r="H296" s="602"/>
    </row>
    <row r="297" spans="2:9" ht="15.5" x14ac:dyDescent="0.35">
      <c r="B297" s="169"/>
      <c r="C297" s="181"/>
      <c r="D297" s="496"/>
      <c r="E297" s="517"/>
      <c r="F297" s="530">
        <f t="shared" si="68"/>
        <v>0</v>
      </c>
      <c r="G297" s="479"/>
      <c r="H297" s="602"/>
    </row>
    <row r="298" spans="2:9" ht="18.5" x14ac:dyDescent="0.45">
      <c r="B298" s="182"/>
      <c r="C298" s="183" t="s">
        <v>1080</v>
      </c>
      <c r="D298" s="497"/>
      <c r="E298" s="518"/>
      <c r="F298" s="528">
        <f>F6+F92+F133+F244+F267+F289-F296</f>
        <v>0</v>
      </c>
      <c r="G298" s="528">
        <f>G6+G92+G133+G244+G267+G289-G296</f>
        <v>0</v>
      </c>
      <c r="H298" s="133"/>
      <c r="I298" s="71"/>
    </row>
    <row r="299" spans="2:9" ht="15.5" x14ac:dyDescent="0.35">
      <c r="B299" s="169"/>
      <c r="C299" s="184"/>
      <c r="D299" s="498"/>
      <c r="E299" s="519"/>
      <c r="F299" s="530">
        <f t="shared" si="68"/>
        <v>0</v>
      </c>
      <c r="G299" s="479"/>
      <c r="H299" s="133"/>
    </row>
    <row r="300" spans="2:9" ht="15.5" x14ac:dyDescent="0.35">
      <c r="B300" s="171" t="s">
        <v>1081</v>
      </c>
      <c r="C300" s="172" t="s">
        <v>1082</v>
      </c>
      <c r="D300" s="455">
        <f t="shared" ref="D300:E300" si="81">D301+D309+D313+D324+D328+D335+D354+D356+D370</f>
        <v>289637792.13999999</v>
      </c>
      <c r="E300" s="455">
        <f t="shared" si="81"/>
        <v>5156858889.1899996</v>
      </c>
      <c r="F300" s="455">
        <f t="shared" si="68"/>
        <v>-4867221097.0499992</v>
      </c>
      <c r="G300" s="474">
        <f>G301+G309+G313+G324+G328+G335+G354+G356+G370</f>
        <v>0</v>
      </c>
      <c r="H300" s="133"/>
    </row>
    <row r="301" spans="2:9" ht="15.5" x14ac:dyDescent="0.35">
      <c r="B301" s="174" t="s">
        <v>1083</v>
      </c>
      <c r="C301" s="166" t="s">
        <v>420</v>
      </c>
      <c r="D301" s="456">
        <f t="shared" ref="D301:E301" si="82">SUM(D302:D308)</f>
        <v>0</v>
      </c>
      <c r="E301" s="456">
        <f t="shared" si="82"/>
        <v>0</v>
      </c>
      <c r="F301" s="456">
        <f t="shared" si="68"/>
        <v>0</v>
      </c>
      <c r="G301" s="470">
        <f>SUM(G302:G308)</f>
        <v>0</v>
      </c>
      <c r="H301" s="133"/>
    </row>
    <row r="302" spans="2:9" ht="15.5" x14ac:dyDescent="0.35">
      <c r="B302" s="384" t="s">
        <v>1084</v>
      </c>
      <c r="C302" s="393" t="s">
        <v>1085</v>
      </c>
      <c r="D302" s="489"/>
      <c r="E302" s="510"/>
      <c r="F302" s="463">
        <f t="shared" si="68"/>
        <v>0</v>
      </c>
      <c r="G302" s="468"/>
      <c r="H302" s="133"/>
    </row>
    <row r="303" spans="2:9" ht="15.5" x14ac:dyDescent="0.35">
      <c r="B303" s="384">
        <v>612</v>
      </c>
      <c r="C303" s="392" t="s">
        <v>878</v>
      </c>
      <c r="D303" s="488"/>
      <c r="E303" s="509"/>
      <c r="F303" s="463">
        <f t="shared" si="68"/>
        <v>0</v>
      </c>
      <c r="G303" s="468"/>
      <c r="H303" s="133"/>
    </row>
    <row r="304" spans="2:9" ht="15.5" x14ac:dyDescent="0.35">
      <c r="B304" s="384">
        <v>613</v>
      </c>
      <c r="C304" s="392" t="s">
        <v>857</v>
      </c>
      <c r="D304" s="488"/>
      <c r="E304" s="509"/>
      <c r="F304" s="463">
        <f t="shared" si="68"/>
        <v>0</v>
      </c>
      <c r="G304" s="468"/>
      <c r="H304" s="133"/>
    </row>
    <row r="305" spans="2:9" ht="15.5" x14ac:dyDescent="0.35">
      <c r="B305" s="384">
        <v>614</v>
      </c>
      <c r="C305" s="392" t="s">
        <v>869</v>
      </c>
      <c r="D305" s="488"/>
      <c r="E305" s="509"/>
      <c r="F305" s="463">
        <f t="shared" si="68"/>
        <v>0</v>
      </c>
      <c r="G305" s="468"/>
      <c r="H305" s="133"/>
    </row>
    <row r="306" spans="2:9" ht="15.5" x14ac:dyDescent="0.35">
      <c r="B306" s="384">
        <v>615</v>
      </c>
      <c r="C306" s="392" t="s">
        <v>944</v>
      </c>
      <c r="D306" s="488"/>
      <c r="E306" s="509"/>
      <c r="F306" s="463">
        <f t="shared" si="68"/>
        <v>0</v>
      </c>
      <c r="G306" s="468"/>
      <c r="H306" s="133"/>
    </row>
    <row r="307" spans="2:9" ht="15.5" x14ac:dyDescent="0.35">
      <c r="B307" s="384" t="s">
        <v>1086</v>
      </c>
      <c r="C307" s="393" t="s">
        <v>1087</v>
      </c>
      <c r="D307" s="489"/>
      <c r="E307" s="510"/>
      <c r="F307" s="463">
        <f t="shared" si="68"/>
        <v>0</v>
      </c>
      <c r="G307" s="468"/>
      <c r="H307" s="133"/>
    </row>
    <row r="308" spans="2:9" ht="15.5" x14ac:dyDescent="0.35">
      <c r="B308" s="384">
        <v>618</v>
      </c>
      <c r="C308" s="392" t="s">
        <v>859</v>
      </c>
      <c r="D308" s="488"/>
      <c r="E308" s="509"/>
      <c r="F308" s="463">
        <f t="shared" si="68"/>
        <v>0</v>
      </c>
      <c r="G308" s="468"/>
      <c r="H308" s="133"/>
    </row>
    <row r="309" spans="2:9" ht="15.5" x14ac:dyDescent="0.35">
      <c r="B309" s="170" t="s">
        <v>1088</v>
      </c>
      <c r="C309" s="168" t="s">
        <v>1089</v>
      </c>
      <c r="D309" s="456">
        <f t="shared" ref="D309:E309" si="83">SUM(D310:D312)</f>
        <v>289137792.13999999</v>
      </c>
      <c r="E309" s="456">
        <f t="shared" si="83"/>
        <v>2058350119.8600001</v>
      </c>
      <c r="F309" s="456">
        <f t="shared" si="68"/>
        <v>-1769212327.7200003</v>
      </c>
      <c r="G309" s="470">
        <f>SUM(G310:G312)</f>
        <v>0</v>
      </c>
      <c r="H309" s="133"/>
      <c r="I309" s="72"/>
    </row>
    <row r="310" spans="2:9" ht="15.5" x14ac:dyDescent="0.35">
      <c r="B310" s="396" t="s">
        <v>1090</v>
      </c>
      <c r="C310" s="392" t="s">
        <v>1091</v>
      </c>
      <c r="D310" s="488">
        <v>253174859.24000001</v>
      </c>
      <c r="E310" s="509">
        <v>1087112908.45</v>
      </c>
      <c r="F310" s="463">
        <f t="shared" si="68"/>
        <v>-833938049.21000004</v>
      </c>
      <c r="G310" s="468"/>
      <c r="H310" s="133"/>
    </row>
    <row r="311" spans="2:9" ht="15.5" x14ac:dyDescent="0.35">
      <c r="B311" s="396" t="s">
        <v>1092</v>
      </c>
      <c r="C311" s="392" t="s">
        <v>1093</v>
      </c>
      <c r="D311" s="488">
        <v>35962932.899999999</v>
      </c>
      <c r="E311" s="509">
        <v>971237211.40999997</v>
      </c>
      <c r="F311" s="463">
        <f t="shared" si="68"/>
        <v>-935274278.50999999</v>
      </c>
      <c r="G311" s="468"/>
      <c r="H311" s="133"/>
    </row>
    <row r="312" spans="2:9" ht="15.5" x14ac:dyDescent="0.35">
      <c r="B312" s="384">
        <v>628</v>
      </c>
      <c r="C312" s="393" t="s">
        <v>1094</v>
      </c>
      <c r="D312" s="489"/>
      <c r="E312" s="510"/>
      <c r="F312" s="463">
        <f t="shared" si="68"/>
        <v>0</v>
      </c>
      <c r="G312" s="468"/>
      <c r="H312" s="133"/>
    </row>
    <row r="313" spans="2:9" ht="15.5" x14ac:dyDescent="0.35">
      <c r="B313" s="174" t="s">
        <v>1095</v>
      </c>
      <c r="C313" s="166" t="s">
        <v>458</v>
      </c>
      <c r="D313" s="456">
        <f t="shared" ref="D313:E313" si="84">D314+SUM(D319:D322)</f>
        <v>0</v>
      </c>
      <c r="E313" s="456">
        <f t="shared" si="84"/>
        <v>3062918878.1999998</v>
      </c>
      <c r="F313" s="456">
        <f t="shared" si="68"/>
        <v>-3062918878.1999998</v>
      </c>
      <c r="G313" s="470">
        <f>G314+SUM(G319:G322)</f>
        <v>0</v>
      </c>
      <c r="H313" s="133"/>
    </row>
    <row r="314" spans="2:9" ht="15.5" x14ac:dyDescent="0.35">
      <c r="B314" s="408" t="s">
        <v>1096</v>
      </c>
      <c r="C314" s="405" t="s">
        <v>1097</v>
      </c>
      <c r="D314" s="459">
        <f t="shared" ref="D314:E314" si="85">SUM(D315:D318)</f>
        <v>0</v>
      </c>
      <c r="E314" s="459">
        <f t="shared" si="85"/>
        <v>600000</v>
      </c>
      <c r="F314" s="457">
        <f t="shared" si="68"/>
        <v>-600000</v>
      </c>
      <c r="G314" s="467">
        <f>SUM(G315:G318)</f>
        <v>0</v>
      </c>
      <c r="H314" s="133"/>
    </row>
    <row r="315" spans="2:9" ht="15.5" x14ac:dyDescent="0.35">
      <c r="B315" s="378">
        <v>6311</v>
      </c>
      <c r="C315" s="379" t="s">
        <v>1098</v>
      </c>
      <c r="D315" s="484">
        <v>0</v>
      </c>
      <c r="E315" s="505">
        <v>600000</v>
      </c>
      <c r="F315" s="463">
        <f t="shared" si="68"/>
        <v>-600000</v>
      </c>
      <c r="G315" s="468"/>
      <c r="H315" s="133"/>
    </row>
    <row r="316" spans="2:9" ht="15.5" x14ac:dyDescent="0.35">
      <c r="B316" s="378">
        <v>6312</v>
      </c>
      <c r="C316" s="379" t="s">
        <v>1099</v>
      </c>
      <c r="D316" s="484"/>
      <c r="E316" s="505"/>
      <c r="F316" s="463">
        <f t="shared" si="68"/>
        <v>0</v>
      </c>
      <c r="G316" s="468"/>
      <c r="H316" s="133"/>
    </row>
    <row r="317" spans="2:9" ht="15.5" x14ac:dyDescent="0.35">
      <c r="B317" s="378">
        <v>6313</v>
      </c>
      <c r="C317" s="379" t="s">
        <v>1100</v>
      </c>
      <c r="D317" s="484"/>
      <c r="E317" s="505"/>
      <c r="F317" s="463">
        <f t="shared" si="68"/>
        <v>0</v>
      </c>
      <c r="G317" s="468"/>
      <c r="H317" s="133"/>
    </row>
    <row r="318" spans="2:9" ht="15.5" x14ac:dyDescent="0.35">
      <c r="B318" s="378">
        <v>6314</v>
      </c>
      <c r="C318" s="379" t="s">
        <v>1101</v>
      </c>
      <c r="D318" s="484"/>
      <c r="E318" s="505"/>
      <c r="F318" s="463">
        <f t="shared" si="68"/>
        <v>0</v>
      </c>
      <c r="G318" s="468"/>
      <c r="H318" s="133"/>
    </row>
    <row r="319" spans="2:9" ht="15.5" x14ac:dyDescent="0.35">
      <c r="B319" s="396">
        <v>632</v>
      </c>
      <c r="C319" s="392" t="s">
        <v>1102</v>
      </c>
      <c r="D319" s="488"/>
      <c r="E319" s="509"/>
      <c r="F319" s="463">
        <f t="shared" si="68"/>
        <v>0</v>
      </c>
      <c r="G319" s="468"/>
      <c r="H319" s="133"/>
    </row>
    <row r="320" spans="2:9" ht="15" customHeight="1" x14ac:dyDescent="0.35">
      <c r="B320" s="384">
        <v>633</v>
      </c>
      <c r="C320" s="393" t="s">
        <v>1103</v>
      </c>
      <c r="D320" s="489">
        <v>0</v>
      </c>
      <c r="E320" s="510">
        <v>3062318878.1999998</v>
      </c>
      <c r="F320" s="463">
        <f t="shared" si="68"/>
        <v>-3062318878.1999998</v>
      </c>
      <c r="G320" s="468"/>
      <c r="H320" s="133"/>
    </row>
    <row r="321" spans="2:8" ht="15.5" x14ac:dyDescent="0.35">
      <c r="B321" s="384" t="s">
        <v>1104</v>
      </c>
      <c r="C321" s="393" t="s">
        <v>1105</v>
      </c>
      <c r="D321" s="489"/>
      <c r="E321" s="510"/>
      <c r="F321" s="463">
        <f t="shared" si="68"/>
        <v>0</v>
      </c>
      <c r="G321" s="468"/>
      <c r="H321" s="133"/>
    </row>
    <row r="322" spans="2:8" ht="15.5" x14ac:dyDescent="0.35">
      <c r="B322" s="396">
        <v>635</v>
      </c>
      <c r="C322" s="392" t="s">
        <v>1106</v>
      </c>
      <c r="D322" s="488"/>
      <c r="E322" s="509"/>
      <c r="F322" s="463">
        <f t="shared" si="68"/>
        <v>0</v>
      </c>
      <c r="G322" s="468"/>
      <c r="H322" s="133"/>
    </row>
    <row r="323" spans="2:8" ht="15.5" x14ac:dyDescent="0.35">
      <c r="B323" s="384" t="s">
        <v>1107</v>
      </c>
      <c r="C323" s="393" t="s">
        <v>1108</v>
      </c>
      <c r="D323" s="489"/>
      <c r="E323" s="510"/>
      <c r="F323" s="463">
        <f t="shared" si="68"/>
        <v>0</v>
      </c>
      <c r="G323" s="468"/>
      <c r="H323" s="133"/>
    </row>
    <row r="324" spans="2:8" ht="15.5" x14ac:dyDescent="0.35">
      <c r="B324" s="170">
        <v>64</v>
      </c>
      <c r="C324" s="166" t="s">
        <v>1109</v>
      </c>
      <c r="D324" s="460">
        <f t="shared" ref="D324:E324" si="86">SUM(D325:D327)</f>
        <v>0</v>
      </c>
      <c r="E324" s="460">
        <f t="shared" si="86"/>
        <v>0</v>
      </c>
      <c r="F324" s="456">
        <f t="shared" si="68"/>
        <v>0</v>
      </c>
      <c r="G324" s="475">
        <f>SUM(G325:G327)</f>
        <v>0</v>
      </c>
      <c r="H324" s="133"/>
    </row>
    <row r="325" spans="2:8" ht="15.5" x14ac:dyDescent="0.35">
      <c r="B325" s="384">
        <v>641</v>
      </c>
      <c r="C325" s="392" t="s">
        <v>871</v>
      </c>
      <c r="D325" s="488"/>
      <c r="E325" s="509"/>
      <c r="F325" s="463">
        <f t="shared" si="68"/>
        <v>0</v>
      </c>
      <c r="G325" s="468"/>
      <c r="H325" s="133"/>
    </row>
    <row r="326" spans="2:8" ht="15.5" x14ac:dyDescent="0.35">
      <c r="B326" s="384">
        <v>642</v>
      </c>
      <c r="C326" s="392" t="s">
        <v>875</v>
      </c>
      <c r="D326" s="488"/>
      <c r="E326" s="509"/>
      <c r="F326" s="463">
        <f t="shared" si="68"/>
        <v>0</v>
      </c>
      <c r="G326" s="468"/>
      <c r="H326" s="133"/>
    </row>
    <row r="327" spans="2:8" ht="15.5" x14ac:dyDescent="0.35">
      <c r="B327" s="384">
        <v>643</v>
      </c>
      <c r="C327" s="392" t="s">
        <v>876</v>
      </c>
      <c r="D327" s="488"/>
      <c r="E327" s="509"/>
      <c r="F327" s="463">
        <f t="shared" si="68"/>
        <v>0</v>
      </c>
      <c r="G327" s="468"/>
      <c r="H327" s="133"/>
    </row>
    <row r="328" spans="2:8" ht="15.5" x14ac:dyDescent="0.35">
      <c r="B328" s="170">
        <v>65</v>
      </c>
      <c r="C328" s="166" t="s">
        <v>493</v>
      </c>
      <c r="D328" s="460">
        <f t="shared" ref="D328:E328" si="87">D329+D334</f>
        <v>0</v>
      </c>
      <c r="E328" s="460">
        <f t="shared" si="87"/>
        <v>0</v>
      </c>
      <c r="F328" s="456">
        <f t="shared" si="68"/>
        <v>0</v>
      </c>
      <c r="G328" s="475">
        <f>G329+G334</f>
        <v>0</v>
      </c>
      <c r="H328" s="133"/>
    </row>
    <row r="329" spans="2:8" ht="15.5" x14ac:dyDescent="0.35">
      <c r="B329" s="408">
        <v>651</v>
      </c>
      <c r="C329" s="407" t="s">
        <v>1110</v>
      </c>
      <c r="D329" s="457">
        <f t="shared" ref="D329:E329" si="88">SUM(D330:D333)</f>
        <v>0</v>
      </c>
      <c r="E329" s="457">
        <f t="shared" si="88"/>
        <v>0</v>
      </c>
      <c r="F329" s="457">
        <f t="shared" si="68"/>
        <v>0</v>
      </c>
      <c r="G329" s="467">
        <f>SUM(G330:G333)</f>
        <v>0</v>
      </c>
      <c r="H329" s="133"/>
    </row>
    <row r="330" spans="2:8" ht="15.5" x14ac:dyDescent="0.35">
      <c r="B330" s="386">
        <v>6511</v>
      </c>
      <c r="C330" s="383" t="s">
        <v>975</v>
      </c>
      <c r="D330" s="486"/>
      <c r="E330" s="507"/>
      <c r="F330" s="463">
        <f t="shared" ref="F330:F393" si="89">IF(D330&gt;=E330,D330-E330,D330-E330)</f>
        <v>0</v>
      </c>
      <c r="G330" s="468"/>
      <c r="H330" s="133"/>
    </row>
    <row r="331" spans="2:8" ht="15.5" x14ac:dyDescent="0.35">
      <c r="B331" s="386">
        <v>6512</v>
      </c>
      <c r="C331" s="383" t="s">
        <v>976</v>
      </c>
      <c r="D331" s="486"/>
      <c r="E331" s="507"/>
      <c r="F331" s="463">
        <f t="shared" si="89"/>
        <v>0</v>
      </c>
      <c r="G331" s="468"/>
      <c r="H331" s="133"/>
    </row>
    <row r="332" spans="2:8" ht="15.5" x14ac:dyDescent="0.35">
      <c r="B332" s="386">
        <v>6513</v>
      </c>
      <c r="C332" s="383" t="s">
        <v>977</v>
      </c>
      <c r="D332" s="486"/>
      <c r="E332" s="507"/>
      <c r="F332" s="463">
        <f t="shared" si="89"/>
        <v>0</v>
      </c>
      <c r="G332" s="468"/>
      <c r="H332" s="133"/>
    </row>
    <row r="333" spans="2:8" ht="15.5" x14ac:dyDescent="0.35">
      <c r="B333" s="386">
        <v>6514</v>
      </c>
      <c r="C333" s="383" t="s">
        <v>1111</v>
      </c>
      <c r="D333" s="486"/>
      <c r="E333" s="507"/>
      <c r="F333" s="463">
        <f t="shared" si="89"/>
        <v>0</v>
      </c>
      <c r="G333" s="468"/>
      <c r="H333" s="133"/>
    </row>
    <row r="334" spans="2:8" ht="15.5" x14ac:dyDescent="0.35">
      <c r="B334" s="384">
        <v>652</v>
      </c>
      <c r="C334" s="392" t="s">
        <v>1112</v>
      </c>
      <c r="D334" s="488"/>
      <c r="E334" s="509"/>
      <c r="F334" s="463">
        <f t="shared" si="89"/>
        <v>0</v>
      </c>
      <c r="G334" s="468"/>
      <c r="H334" s="133"/>
    </row>
    <row r="335" spans="2:8" ht="15.5" x14ac:dyDescent="0.35">
      <c r="B335" s="170" t="s">
        <v>1113</v>
      </c>
      <c r="C335" s="168" t="s">
        <v>1114</v>
      </c>
      <c r="D335" s="456">
        <f t="shared" ref="D335:E335" si="90">D336+SUM(D341:D344)+D348+D351</f>
        <v>500000</v>
      </c>
      <c r="E335" s="456">
        <f t="shared" si="90"/>
        <v>10589891.130000001</v>
      </c>
      <c r="F335" s="456">
        <f t="shared" si="89"/>
        <v>-10089891.130000001</v>
      </c>
      <c r="G335" s="470">
        <f>G336+SUM(G341:G344)+G348+G351</f>
        <v>0</v>
      </c>
      <c r="H335" s="133"/>
    </row>
    <row r="336" spans="2:8" ht="15.5" x14ac:dyDescent="0.35">
      <c r="B336" s="409" t="s">
        <v>1115</v>
      </c>
      <c r="C336" s="407" t="s">
        <v>981</v>
      </c>
      <c r="D336" s="457">
        <f t="shared" ref="D336:E336" si="91">SUM(D337:D340)</f>
        <v>0</v>
      </c>
      <c r="E336" s="457">
        <f t="shared" si="91"/>
        <v>168000</v>
      </c>
      <c r="F336" s="457">
        <f t="shared" si="89"/>
        <v>-168000</v>
      </c>
      <c r="G336" s="469">
        <f>SUM(G337:G340)</f>
        <v>0</v>
      </c>
      <c r="H336" s="133"/>
    </row>
    <row r="337" spans="2:8" ht="15.5" x14ac:dyDescent="0.35">
      <c r="B337" s="378" t="s">
        <v>1116</v>
      </c>
      <c r="C337" s="379" t="s">
        <v>1117</v>
      </c>
      <c r="D337" s="484">
        <v>0</v>
      </c>
      <c r="E337" s="505">
        <v>168000</v>
      </c>
      <c r="F337" s="463">
        <f t="shared" si="89"/>
        <v>-168000</v>
      </c>
      <c r="G337" s="468"/>
      <c r="H337" s="133"/>
    </row>
    <row r="338" spans="2:8" ht="15.5" x14ac:dyDescent="0.35">
      <c r="B338" s="390">
        <v>6612</v>
      </c>
      <c r="C338" s="381" t="s">
        <v>1118</v>
      </c>
      <c r="D338" s="485"/>
      <c r="E338" s="506"/>
      <c r="F338" s="463">
        <f t="shared" si="89"/>
        <v>0</v>
      </c>
      <c r="G338" s="468"/>
      <c r="H338" s="133"/>
    </row>
    <row r="339" spans="2:8" ht="15.5" x14ac:dyDescent="0.35">
      <c r="B339" s="378">
        <v>6614</v>
      </c>
      <c r="C339" s="381" t="s">
        <v>1119</v>
      </c>
      <c r="D339" s="485"/>
      <c r="E339" s="506"/>
      <c r="F339" s="463">
        <f t="shared" si="89"/>
        <v>0</v>
      </c>
      <c r="G339" s="468"/>
      <c r="H339" s="133"/>
    </row>
    <row r="340" spans="2:8" ht="15.5" x14ac:dyDescent="0.35">
      <c r="B340" s="378">
        <v>6615</v>
      </c>
      <c r="C340" s="381" t="s">
        <v>1120</v>
      </c>
      <c r="D340" s="485"/>
      <c r="E340" s="506"/>
      <c r="F340" s="463">
        <f t="shared" si="89"/>
        <v>0</v>
      </c>
      <c r="G340" s="468"/>
      <c r="H340" s="133"/>
    </row>
    <row r="341" spans="2:8" ht="15.5" x14ac:dyDescent="0.35">
      <c r="B341" s="384">
        <v>662</v>
      </c>
      <c r="C341" s="392" t="s">
        <v>1121</v>
      </c>
      <c r="D341" s="488">
        <v>500000</v>
      </c>
      <c r="E341" s="509">
        <v>10421891.130000001</v>
      </c>
      <c r="F341" s="463">
        <f t="shared" si="89"/>
        <v>-9921891.1300000008</v>
      </c>
      <c r="G341" s="468"/>
      <c r="H341" s="133"/>
    </row>
    <row r="342" spans="2:8" ht="15.5" x14ac:dyDescent="0.35">
      <c r="B342" s="384" t="s">
        <v>1122</v>
      </c>
      <c r="C342" s="393" t="s">
        <v>1123</v>
      </c>
      <c r="D342" s="489"/>
      <c r="E342" s="510"/>
      <c r="F342" s="463">
        <f t="shared" si="89"/>
        <v>0</v>
      </c>
      <c r="G342" s="468"/>
      <c r="H342" s="133"/>
    </row>
    <row r="343" spans="2:8" ht="15.5" x14ac:dyDescent="0.35">
      <c r="B343" s="384" t="s">
        <v>1124</v>
      </c>
      <c r="C343" s="393" t="s">
        <v>1125</v>
      </c>
      <c r="D343" s="489"/>
      <c r="E343" s="510"/>
      <c r="F343" s="463">
        <f t="shared" si="89"/>
        <v>0</v>
      </c>
      <c r="G343" s="468"/>
      <c r="H343" s="133"/>
    </row>
    <row r="344" spans="2:8" ht="15.5" x14ac:dyDescent="0.35">
      <c r="B344" s="409">
        <v>665</v>
      </c>
      <c r="C344" s="407" t="s">
        <v>1126</v>
      </c>
      <c r="D344" s="457">
        <f t="shared" ref="D344:E344" si="92">SUM(D345:D347)</f>
        <v>0</v>
      </c>
      <c r="E344" s="457">
        <f t="shared" si="92"/>
        <v>0</v>
      </c>
      <c r="F344" s="457">
        <f t="shared" si="89"/>
        <v>0</v>
      </c>
      <c r="G344" s="467">
        <f>SUM(G345:G347)</f>
        <v>0</v>
      </c>
      <c r="H344" s="133"/>
    </row>
    <row r="345" spans="2:8" ht="15.5" x14ac:dyDescent="0.35">
      <c r="B345" s="378">
        <v>6651</v>
      </c>
      <c r="C345" s="381" t="s">
        <v>1127</v>
      </c>
      <c r="D345" s="485"/>
      <c r="E345" s="506"/>
      <c r="F345" s="463">
        <f t="shared" si="89"/>
        <v>0</v>
      </c>
      <c r="G345" s="468"/>
      <c r="H345" s="133"/>
    </row>
    <row r="346" spans="2:8" ht="15.5" x14ac:dyDescent="0.35">
      <c r="B346" s="378">
        <v>6652</v>
      </c>
      <c r="C346" s="381" t="s">
        <v>1128</v>
      </c>
      <c r="D346" s="485"/>
      <c r="E346" s="506"/>
      <c r="F346" s="463">
        <f t="shared" si="89"/>
        <v>0</v>
      </c>
      <c r="G346" s="468"/>
      <c r="H346" s="133"/>
    </row>
    <row r="347" spans="2:8" ht="15.5" x14ac:dyDescent="0.35">
      <c r="B347" s="378">
        <v>6653</v>
      </c>
      <c r="C347" s="381" t="s">
        <v>1129</v>
      </c>
      <c r="D347" s="485"/>
      <c r="E347" s="506"/>
      <c r="F347" s="463">
        <f t="shared" si="89"/>
        <v>0</v>
      </c>
      <c r="G347" s="468"/>
      <c r="H347" s="133"/>
    </row>
    <row r="348" spans="2:8" ht="15.5" x14ac:dyDescent="0.35">
      <c r="B348" s="408">
        <v>666</v>
      </c>
      <c r="C348" s="407" t="s">
        <v>1130</v>
      </c>
      <c r="D348" s="457">
        <f t="shared" ref="D348:E348" si="93">D349+D350</f>
        <v>0</v>
      </c>
      <c r="E348" s="457">
        <f t="shared" si="93"/>
        <v>0</v>
      </c>
      <c r="F348" s="457">
        <f t="shared" si="89"/>
        <v>0</v>
      </c>
      <c r="G348" s="467">
        <f>G349+G350</f>
        <v>0</v>
      </c>
      <c r="H348" s="133"/>
    </row>
    <row r="349" spans="2:8" ht="15.5" x14ac:dyDescent="0.35">
      <c r="B349" s="378">
        <v>6661</v>
      </c>
      <c r="C349" s="381" t="s">
        <v>1131</v>
      </c>
      <c r="D349" s="485"/>
      <c r="E349" s="506"/>
      <c r="F349" s="463">
        <f t="shared" si="89"/>
        <v>0</v>
      </c>
      <c r="G349" s="468"/>
      <c r="H349" s="133"/>
    </row>
    <row r="350" spans="2:8" ht="15.5" x14ac:dyDescent="0.35">
      <c r="B350" s="378">
        <v>6662</v>
      </c>
      <c r="C350" s="381" t="s">
        <v>1023</v>
      </c>
      <c r="D350" s="485"/>
      <c r="E350" s="506"/>
      <c r="F350" s="463">
        <f t="shared" si="89"/>
        <v>0</v>
      </c>
      <c r="G350" s="468"/>
      <c r="H350" s="133"/>
    </row>
    <row r="351" spans="2:8" ht="15.5" x14ac:dyDescent="0.35">
      <c r="B351" s="408">
        <v>667</v>
      </c>
      <c r="C351" s="407" t="s">
        <v>1132</v>
      </c>
      <c r="D351" s="457">
        <f t="shared" ref="D351:E351" si="94">D352+D353</f>
        <v>0</v>
      </c>
      <c r="E351" s="457">
        <f t="shared" si="94"/>
        <v>0</v>
      </c>
      <c r="F351" s="457">
        <f t="shared" si="89"/>
        <v>0</v>
      </c>
      <c r="G351" s="469">
        <f>G352+G353</f>
        <v>0</v>
      </c>
      <c r="H351" s="133"/>
    </row>
    <row r="352" spans="2:8" ht="15.5" x14ac:dyDescent="0.35">
      <c r="B352" s="378">
        <v>6671</v>
      </c>
      <c r="C352" s="381" t="s">
        <v>1131</v>
      </c>
      <c r="D352" s="485"/>
      <c r="E352" s="506"/>
      <c r="F352" s="463">
        <f t="shared" si="89"/>
        <v>0</v>
      </c>
      <c r="G352" s="468"/>
      <c r="H352" s="133"/>
    </row>
    <row r="353" spans="2:8" ht="15.5" x14ac:dyDescent="0.35">
      <c r="B353" s="378">
        <v>6672</v>
      </c>
      <c r="C353" s="381" t="s">
        <v>1133</v>
      </c>
      <c r="D353" s="485"/>
      <c r="E353" s="506"/>
      <c r="F353" s="463">
        <f t="shared" si="89"/>
        <v>0</v>
      </c>
      <c r="G353" s="468"/>
      <c r="H353" s="133"/>
    </row>
    <row r="354" spans="2:8" ht="15.5" x14ac:dyDescent="0.35">
      <c r="B354" s="170">
        <v>67</v>
      </c>
      <c r="C354" s="166" t="s">
        <v>1134</v>
      </c>
      <c r="D354" s="460">
        <f t="shared" ref="D354:E354" si="95">D355</f>
        <v>0</v>
      </c>
      <c r="E354" s="460">
        <f t="shared" si="95"/>
        <v>0</v>
      </c>
      <c r="F354" s="456">
        <f t="shared" si="89"/>
        <v>0</v>
      </c>
      <c r="G354" s="475">
        <f>G355</f>
        <v>0</v>
      </c>
      <c r="H354" s="133"/>
    </row>
    <row r="355" spans="2:8" ht="15.5" x14ac:dyDescent="0.35">
      <c r="B355" s="384">
        <v>671</v>
      </c>
      <c r="C355" s="383" t="s">
        <v>1135</v>
      </c>
      <c r="D355" s="486"/>
      <c r="E355" s="507"/>
      <c r="F355" s="463">
        <f t="shared" si="89"/>
        <v>0</v>
      </c>
      <c r="G355" s="468"/>
      <c r="H355" s="133"/>
    </row>
    <row r="356" spans="2:8" ht="15.5" x14ac:dyDescent="0.35">
      <c r="B356" s="170" t="s">
        <v>1136</v>
      </c>
      <c r="C356" s="173" t="s">
        <v>533</v>
      </c>
      <c r="D356" s="461">
        <f t="shared" ref="D356:E356" si="96">D357+SUM(D361:D369)</f>
        <v>0</v>
      </c>
      <c r="E356" s="461">
        <f t="shared" si="96"/>
        <v>25000000</v>
      </c>
      <c r="F356" s="456">
        <f t="shared" si="89"/>
        <v>-25000000</v>
      </c>
      <c r="G356" s="470">
        <f>G357+SUM(G361:G369)</f>
        <v>0</v>
      </c>
      <c r="H356" s="133"/>
    </row>
    <row r="357" spans="2:8" ht="15.5" x14ac:dyDescent="0.35">
      <c r="B357" s="408">
        <v>681</v>
      </c>
      <c r="C357" s="415" t="s">
        <v>1132</v>
      </c>
      <c r="D357" s="457">
        <f t="shared" ref="D357:E357" si="97">SUM(D358:D360)</f>
        <v>0</v>
      </c>
      <c r="E357" s="457">
        <f t="shared" si="97"/>
        <v>0</v>
      </c>
      <c r="F357" s="457">
        <f t="shared" si="89"/>
        <v>0</v>
      </c>
      <c r="G357" s="469">
        <f>SUM(G358:G360)</f>
        <v>0</v>
      </c>
      <c r="H357" s="133"/>
    </row>
    <row r="358" spans="2:8" ht="15.5" x14ac:dyDescent="0.35">
      <c r="B358" s="386">
        <v>6811</v>
      </c>
      <c r="C358" s="401" t="s">
        <v>154</v>
      </c>
      <c r="D358" s="499"/>
      <c r="E358" s="520"/>
      <c r="F358" s="463">
        <f t="shared" si="89"/>
        <v>0</v>
      </c>
      <c r="G358" s="468"/>
      <c r="H358" s="133"/>
    </row>
    <row r="359" spans="2:8" ht="15.5" x14ac:dyDescent="0.35">
      <c r="B359" s="386">
        <v>6812</v>
      </c>
      <c r="C359" s="401" t="s">
        <v>1137</v>
      </c>
      <c r="D359" s="499"/>
      <c r="E359" s="520"/>
      <c r="F359" s="463">
        <f t="shared" si="89"/>
        <v>0</v>
      </c>
      <c r="G359" s="468"/>
      <c r="H359" s="133"/>
    </row>
    <row r="360" spans="2:8" ht="15.5" x14ac:dyDescent="0.35">
      <c r="B360" s="386">
        <v>6813</v>
      </c>
      <c r="C360" s="401" t="s">
        <v>1138</v>
      </c>
      <c r="D360" s="499"/>
      <c r="E360" s="520"/>
      <c r="F360" s="463">
        <f t="shared" si="89"/>
        <v>0</v>
      </c>
      <c r="G360" s="468"/>
      <c r="H360" s="133"/>
    </row>
    <row r="361" spans="2:8" ht="15.5" x14ac:dyDescent="0.35">
      <c r="B361" s="384">
        <v>682</v>
      </c>
      <c r="C361" s="402" t="s">
        <v>1139</v>
      </c>
      <c r="D361" s="500"/>
      <c r="E361" s="521"/>
      <c r="F361" s="463">
        <f t="shared" si="89"/>
        <v>0</v>
      </c>
      <c r="G361" s="468"/>
      <c r="H361" s="133"/>
    </row>
    <row r="362" spans="2:8" ht="15.5" x14ac:dyDescent="0.35">
      <c r="B362" s="384">
        <v>683</v>
      </c>
      <c r="C362" s="402" t="s">
        <v>1140</v>
      </c>
      <c r="D362" s="500">
        <v>0</v>
      </c>
      <c r="E362" s="521">
        <v>25000000</v>
      </c>
      <c r="F362" s="463">
        <f t="shared" si="89"/>
        <v>-25000000</v>
      </c>
      <c r="G362" s="468"/>
      <c r="H362" s="133"/>
    </row>
    <row r="363" spans="2:8" ht="15.5" x14ac:dyDescent="0.35">
      <c r="B363" s="384">
        <v>684</v>
      </c>
      <c r="C363" s="402" t="s">
        <v>1141</v>
      </c>
      <c r="D363" s="500"/>
      <c r="E363" s="521"/>
      <c r="F363" s="463">
        <f t="shared" si="89"/>
        <v>0</v>
      </c>
      <c r="G363" s="468"/>
      <c r="H363" s="133"/>
    </row>
    <row r="364" spans="2:8" ht="15.5" x14ac:dyDescent="0.35">
      <c r="B364" s="384">
        <v>685</v>
      </c>
      <c r="C364" s="402" t="s">
        <v>1142</v>
      </c>
      <c r="D364" s="500"/>
      <c r="E364" s="521"/>
      <c r="F364" s="463">
        <f t="shared" si="89"/>
        <v>0</v>
      </c>
      <c r="G364" s="468"/>
      <c r="H364" s="133"/>
    </row>
    <row r="365" spans="2:8" ht="15.5" x14ac:dyDescent="0.35">
      <c r="B365" s="384">
        <v>686</v>
      </c>
      <c r="C365" s="402" t="s">
        <v>1143</v>
      </c>
      <c r="D365" s="500"/>
      <c r="E365" s="521"/>
      <c r="F365" s="463">
        <f t="shared" si="89"/>
        <v>0</v>
      </c>
      <c r="G365" s="468"/>
      <c r="H365" s="133"/>
    </row>
    <row r="366" spans="2:8" ht="15.5" x14ac:dyDescent="0.35">
      <c r="B366" s="384">
        <v>688</v>
      </c>
      <c r="C366" s="402" t="s">
        <v>1144</v>
      </c>
      <c r="D366" s="500"/>
      <c r="E366" s="521"/>
      <c r="F366" s="463">
        <f t="shared" si="89"/>
        <v>0</v>
      </c>
      <c r="G366" s="468"/>
      <c r="H366" s="133"/>
    </row>
    <row r="367" spans="2:8" ht="15.5" x14ac:dyDescent="0.35">
      <c r="B367" s="384">
        <v>689</v>
      </c>
      <c r="C367" s="402" t="s">
        <v>1145</v>
      </c>
      <c r="D367" s="500"/>
      <c r="E367" s="521"/>
      <c r="F367" s="463">
        <f t="shared" si="89"/>
        <v>0</v>
      </c>
      <c r="G367" s="468"/>
      <c r="H367" s="133"/>
    </row>
    <row r="368" spans="2:8" ht="15.5" x14ac:dyDescent="0.35">
      <c r="B368" s="384">
        <v>6810</v>
      </c>
      <c r="C368" s="402" t="s">
        <v>1146</v>
      </c>
      <c r="D368" s="500"/>
      <c r="E368" s="521"/>
      <c r="F368" s="463">
        <f t="shared" si="89"/>
        <v>0</v>
      </c>
      <c r="G368" s="468"/>
      <c r="H368" s="133"/>
    </row>
    <row r="369" spans="2:8" ht="15.5" x14ac:dyDescent="0.35">
      <c r="B369" s="384">
        <v>6811</v>
      </c>
      <c r="C369" s="402" t="s">
        <v>1147</v>
      </c>
      <c r="D369" s="500"/>
      <c r="E369" s="521"/>
      <c r="F369" s="463">
        <f t="shared" si="89"/>
        <v>0</v>
      </c>
      <c r="G369" s="468"/>
      <c r="H369" s="133"/>
    </row>
    <row r="370" spans="2:8" ht="15.5" x14ac:dyDescent="0.35">
      <c r="B370" s="170">
        <v>69</v>
      </c>
      <c r="C370" s="168" t="s">
        <v>567</v>
      </c>
      <c r="D370" s="456">
        <f t="shared" ref="D370:E370" si="98">SUM(D371:D376)</f>
        <v>0</v>
      </c>
      <c r="E370" s="456">
        <f t="shared" si="98"/>
        <v>0</v>
      </c>
      <c r="F370" s="456">
        <f t="shared" si="89"/>
        <v>0</v>
      </c>
      <c r="G370" s="470">
        <f>SUM(G371:G376)</f>
        <v>0</v>
      </c>
      <c r="H370" s="133"/>
    </row>
    <row r="371" spans="2:8" ht="15.5" x14ac:dyDescent="0.35">
      <c r="B371" s="384">
        <v>691</v>
      </c>
      <c r="C371" s="393" t="s">
        <v>1148</v>
      </c>
      <c r="D371" s="489"/>
      <c r="E371" s="510"/>
      <c r="F371" s="463">
        <f t="shared" si="89"/>
        <v>0</v>
      </c>
      <c r="G371" s="468"/>
      <c r="H371" s="133"/>
    </row>
    <row r="372" spans="2:8" ht="15.5" x14ac:dyDescent="0.35">
      <c r="B372" s="384">
        <v>692</v>
      </c>
      <c r="C372" s="393" t="s">
        <v>1149</v>
      </c>
      <c r="D372" s="489"/>
      <c r="E372" s="510"/>
      <c r="F372" s="463">
        <f t="shared" si="89"/>
        <v>0</v>
      </c>
      <c r="G372" s="468"/>
      <c r="H372" s="133"/>
    </row>
    <row r="373" spans="2:8" ht="15.5" x14ac:dyDescent="0.35">
      <c r="B373" s="384">
        <v>693</v>
      </c>
      <c r="C373" s="393" t="s">
        <v>1150</v>
      </c>
      <c r="D373" s="489"/>
      <c r="E373" s="510"/>
      <c r="F373" s="463">
        <f t="shared" si="89"/>
        <v>0</v>
      </c>
      <c r="G373" s="468"/>
      <c r="H373" s="133"/>
    </row>
    <row r="374" spans="2:8" ht="15.5" x14ac:dyDescent="0.35">
      <c r="B374" s="384">
        <v>694</v>
      </c>
      <c r="C374" s="393" t="s">
        <v>1151</v>
      </c>
      <c r="D374" s="489"/>
      <c r="E374" s="510"/>
      <c r="F374" s="463">
        <f t="shared" si="89"/>
        <v>0</v>
      </c>
      <c r="G374" s="468"/>
      <c r="H374" s="133"/>
    </row>
    <row r="375" spans="2:8" ht="15.5" x14ac:dyDescent="0.35">
      <c r="B375" s="384">
        <v>695</v>
      </c>
      <c r="C375" s="393" t="s">
        <v>1152</v>
      </c>
      <c r="D375" s="489"/>
      <c r="E375" s="510"/>
      <c r="F375" s="463">
        <f t="shared" si="89"/>
        <v>0</v>
      </c>
      <c r="G375" s="468"/>
      <c r="H375" s="133"/>
    </row>
    <row r="376" spans="2:8" ht="15.5" x14ac:dyDescent="0.35">
      <c r="B376" s="384">
        <v>696</v>
      </c>
      <c r="C376" s="393" t="s">
        <v>1153</v>
      </c>
      <c r="D376" s="489"/>
      <c r="E376" s="510"/>
      <c r="F376" s="463">
        <f t="shared" si="89"/>
        <v>0</v>
      </c>
      <c r="G376" s="468"/>
      <c r="H376" s="133"/>
    </row>
    <row r="377" spans="2:8" ht="15.5" x14ac:dyDescent="0.35">
      <c r="B377" s="171" t="s">
        <v>1154</v>
      </c>
      <c r="C377" s="172" t="s">
        <v>1155</v>
      </c>
      <c r="D377" s="455">
        <f>D378+D384+D393+D408+D416+D432+D435+D450</f>
        <v>6734881166.0499992</v>
      </c>
      <c r="E377" s="455">
        <f>E378+E384+E393+E408+E416+E432+E435+E450</f>
        <v>193459876.05000001</v>
      </c>
      <c r="F377" s="455">
        <f t="shared" si="89"/>
        <v>6541421289.999999</v>
      </c>
      <c r="G377" s="474">
        <f>G378+G384+G393+G408+G416+G432+G435+G450</f>
        <v>0</v>
      </c>
      <c r="H377" s="133"/>
    </row>
    <row r="378" spans="2:8" ht="15.5" x14ac:dyDescent="0.35">
      <c r="B378" s="174" t="s">
        <v>1156</v>
      </c>
      <c r="C378" s="166" t="s">
        <v>1157</v>
      </c>
      <c r="D378" s="456">
        <f t="shared" ref="D378:E378" si="99">SUM(D379:D383)</f>
        <v>180034097.24000001</v>
      </c>
      <c r="E378" s="456">
        <f t="shared" si="99"/>
        <v>349316.27</v>
      </c>
      <c r="F378" s="456">
        <f t="shared" si="89"/>
        <v>179684780.97</v>
      </c>
      <c r="G378" s="470">
        <f>SUM(G379:G383)</f>
        <v>0</v>
      </c>
      <c r="H378" s="133"/>
    </row>
    <row r="379" spans="2:8" ht="15.5" x14ac:dyDescent="0.35">
      <c r="B379" s="384" t="s">
        <v>1158</v>
      </c>
      <c r="C379" s="393" t="s">
        <v>1159</v>
      </c>
      <c r="D379" s="489">
        <v>180034097.24000001</v>
      </c>
      <c r="E379" s="510">
        <v>349316.27</v>
      </c>
      <c r="F379" s="463">
        <f t="shared" si="89"/>
        <v>179684780.97</v>
      </c>
      <c r="G379" s="468"/>
      <c r="H379" s="133"/>
    </row>
    <row r="380" spans="2:8" ht="15.5" x14ac:dyDescent="0.35">
      <c r="B380" s="384">
        <v>712</v>
      </c>
      <c r="C380" s="393" t="s">
        <v>1160</v>
      </c>
      <c r="D380" s="489"/>
      <c r="E380" s="510"/>
      <c r="F380" s="463">
        <f t="shared" si="89"/>
        <v>0</v>
      </c>
      <c r="G380" s="468"/>
      <c r="H380" s="133"/>
    </row>
    <row r="381" spans="2:8" ht="15.5" x14ac:dyDescent="0.35">
      <c r="B381" s="384">
        <v>713</v>
      </c>
      <c r="C381" s="393" t="s">
        <v>868</v>
      </c>
      <c r="D381" s="489"/>
      <c r="E381" s="510"/>
      <c r="F381" s="463">
        <f t="shared" si="89"/>
        <v>0</v>
      </c>
      <c r="G381" s="468"/>
      <c r="H381" s="133"/>
    </row>
    <row r="382" spans="2:8" ht="15.5" x14ac:dyDescent="0.35">
      <c r="B382" s="384">
        <v>714</v>
      </c>
      <c r="C382" s="393" t="s">
        <v>869</v>
      </c>
      <c r="D382" s="489"/>
      <c r="E382" s="510"/>
      <c r="F382" s="463">
        <f t="shared" si="89"/>
        <v>0</v>
      </c>
      <c r="G382" s="468"/>
      <c r="H382" s="133"/>
    </row>
    <row r="383" spans="2:8" ht="15.5" x14ac:dyDescent="0.35">
      <c r="B383" s="384">
        <v>715</v>
      </c>
      <c r="C383" s="393" t="s">
        <v>860</v>
      </c>
      <c r="D383" s="489"/>
      <c r="E383" s="510"/>
      <c r="F383" s="463">
        <f t="shared" si="89"/>
        <v>0</v>
      </c>
      <c r="G383" s="468"/>
      <c r="H383" s="133"/>
    </row>
    <row r="384" spans="2:8" ht="15.5" x14ac:dyDescent="0.35">
      <c r="B384" s="170" t="s">
        <v>1161</v>
      </c>
      <c r="C384" s="168" t="s">
        <v>609</v>
      </c>
      <c r="D384" s="456">
        <f t="shared" ref="D384:E384" si="100">SUM(D385:D392)</f>
        <v>3319046110.2799997</v>
      </c>
      <c r="E384" s="456">
        <f t="shared" si="100"/>
        <v>1194800</v>
      </c>
      <c r="F384" s="456">
        <f t="shared" si="89"/>
        <v>3317851310.2799997</v>
      </c>
      <c r="G384" s="470">
        <f>SUM(G385:G392)</f>
        <v>0</v>
      </c>
      <c r="H384" s="133"/>
    </row>
    <row r="385" spans="2:8" ht="15.5" x14ac:dyDescent="0.35">
      <c r="B385" s="396" t="s">
        <v>1162</v>
      </c>
      <c r="C385" s="392" t="s">
        <v>1163</v>
      </c>
      <c r="D385" s="488"/>
      <c r="E385" s="509"/>
      <c r="F385" s="463">
        <f t="shared" si="89"/>
        <v>0</v>
      </c>
      <c r="G385" s="468"/>
      <c r="H385" s="133"/>
    </row>
    <row r="386" spans="2:8" ht="15.5" x14ac:dyDescent="0.35">
      <c r="B386" s="384" t="s">
        <v>1164</v>
      </c>
      <c r="C386" s="393" t="s">
        <v>1165</v>
      </c>
      <c r="D386" s="489">
        <v>2653803173.54</v>
      </c>
      <c r="E386" s="510">
        <v>875000</v>
      </c>
      <c r="F386" s="463">
        <f t="shared" si="89"/>
        <v>2652928173.54</v>
      </c>
      <c r="G386" s="468"/>
      <c r="H386" s="133"/>
    </row>
    <row r="387" spans="2:8" ht="15.5" x14ac:dyDescent="0.35">
      <c r="B387" s="396">
        <v>723</v>
      </c>
      <c r="C387" s="392" t="s">
        <v>1166</v>
      </c>
      <c r="D387" s="488">
        <v>112061122.98999999</v>
      </c>
      <c r="E387" s="509">
        <v>0</v>
      </c>
      <c r="F387" s="463">
        <f t="shared" si="89"/>
        <v>112061122.98999999</v>
      </c>
      <c r="G387" s="468"/>
      <c r="H387" s="133"/>
    </row>
    <row r="388" spans="2:8" ht="15.5" x14ac:dyDescent="0.35">
      <c r="B388" s="384">
        <v>724</v>
      </c>
      <c r="C388" s="393" t="s">
        <v>1167</v>
      </c>
      <c r="D388" s="489"/>
      <c r="E388" s="510"/>
      <c r="F388" s="463">
        <f t="shared" si="89"/>
        <v>0</v>
      </c>
      <c r="G388" s="468"/>
      <c r="H388" s="133"/>
    </row>
    <row r="389" spans="2:8" ht="15.5" x14ac:dyDescent="0.35">
      <c r="B389" s="384">
        <v>725</v>
      </c>
      <c r="C389" s="393" t="s">
        <v>1168</v>
      </c>
      <c r="D389" s="489">
        <v>185583508.63999999</v>
      </c>
      <c r="E389" s="510">
        <v>0</v>
      </c>
      <c r="F389" s="463">
        <f t="shared" si="89"/>
        <v>185583508.63999999</v>
      </c>
      <c r="G389" s="468"/>
      <c r="H389" s="133"/>
    </row>
    <row r="390" spans="2:8" ht="15.5" x14ac:dyDescent="0.35">
      <c r="B390" s="384">
        <v>726</v>
      </c>
      <c r="C390" s="393" t="s">
        <v>1169</v>
      </c>
      <c r="D390" s="489">
        <v>7513433.5199999996</v>
      </c>
      <c r="E390" s="510">
        <v>0</v>
      </c>
      <c r="F390" s="463">
        <f t="shared" si="89"/>
        <v>7513433.5199999996</v>
      </c>
      <c r="G390" s="468"/>
      <c r="H390" s="133"/>
    </row>
    <row r="391" spans="2:8" ht="15.5" x14ac:dyDescent="0.35">
      <c r="B391" s="384">
        <v>727</v>
      </c>
      <c r="C391" s="393" t="s">
        <v>1170</v>
      </c>
      <c r="D391" s="489">
        <v>9847303.3499999996</v>
      </c>
      <c r="E391" s="510">
        <v>12000</v>
      </c>
      <c r="F391" s="463">
        <f t="shared" si="89"/>
        <v>9835303.3499999996</v>
      </c>
      <c r="G391" s="468"/>
      <c r="H391" s="133"/>
    </row>
    <row r="392" spans="2:8" ht="15.5" x14ac:dyDescent="0.35">
      <c r="B392" s="384">
        <v>728</v>
      </c>
      <c r="C392" s="393" t="s">
        <v>1171</v>
      </c>
      <c r="D392" s="489">
        <v>350237568.24000001</v>
      </c>
      <c r="E392" s="510">
        <v>307800</v>
      </c>
      <c r="F392" s="463">
        <f t="shared" si="89"/>
        <v>349929768.24000001</v>
      </c>
      <c r="G392" s="468"/>
      <c r="H392" s="133"/>
    </row>
    <row r="393" spans="2:8" ht="15.5" x14ac:dyDescent="0.35">
      <c r="B393" s="170">
        <v>73</v>
      </c>
      <c r="C393" s="168" t="s">
        <v>1172</v>
      </c>
      <c r="D393" s="456">
        <f t="shared" ref="D393:E393" si="101">D394+D402</f>
        <v>508397950.43000001</v>
      </c>
      <c r="E393" s="456">
        <f t="shared" si="101"/>
        <v>0</v>
      </c>
      <c r="F393" s="456">
        <f t="shared" si="89"/>
        <v>508397950.43000001</v>
      </c>
      <c r="G393" s="470">
        <f>G394+G402</f>
        <v>0</v>
      </c>
      <c r="H393" s="133"/>
    </row>
    <row r="394" spans="2:8" ht="15.5" x14ac:dyDescent="0.35">
      <c r="B394" s="409">
        <v>731</v>
      </c>
      <c r="C394" s="407" t="s">
        <v>29</v>
      </c>
      <c r="D394" s="457">
        <f t="shared" ref="D394:E394" si="102">SUM(D395:D401)</f>
        <v>499980887.38999999</v>
      </c>
      <c r="E394" s="457">
        <f t="shared" si="102"/>
        <v>0</v>
      </c>
      <c r="F394" s="457">
        <f t="shared" ref="F394:F455" si="103">IF(D394&gt;=E394,D394-E394,D394-E394)</f>
        <v>499980887.38999999</v>
      </c>
      <c r="G394" s="467">
        <f>SUM(G395:G401)</f>
        <v>0</v>
      </c>
      <c r="H394" s="133"/>
    </row>
    <row r="395" spans="2:8" ht="15.5" x14ac:dyDescent="0.35">
      <c r="B395" s="378">
        <v>7311</v>
      </c>
      <c r="C395" s="381" t="s">
        <v>763</v>
      </c>
      <c r="D395" s="485">
        <v>499980887.38999999</v>
      </c>
      <c r="E395" s="506">
        <v>0</v>
      </c>
      <c r="F395" s="463">
        <f t="shared" si="103"/>
        <v>499980887.38999999</v>
      </c>
      <c r="G395" s="468"/>
      <c r="H395" s="133"/>
    </row>
    <row r="396" spans="2:8" ht="15.5" x14ac:dyDescent="0.35">
      <c r="B396" s="378">
        <v>7312</v>
      </c>
      <c r="C396" s="381" t="s">
        <v>849</v>
      </c>
      <c r="D396" s="485"/>
      <c r="E396" s="506"/>
      <c r="F396" s="463">
        <f t="shared" si="103"/>
        <v>0</v>
      </c>
      <c r="G396" s="468"/>
      <c r="H396" s="133"/>
    </row>
    <row r="397" spans="2:8" ht="15.5" x14ac:dyDescent="0.35">
      <c r="B397" s="378">
        <v>7313</v>
      </c>
      <c r="C397" s="381" t="s">
        <v>776</v>
      </c>
      <c r="D397" s="485"/>
      <c r="E397" s="506"/>
      <c r="F397" s="463">
        <f t="shared" si="103"/>
        <v>0</v>
      </c>
      <c r="G397" s="468"/>
      <c r="H397" s="133"/>
    </row>
    <row r="398" spans="2:8" ht="15.5" x14ac:dyDescent="0.35">
      <c r="B398" s="378">
        <v>7314</v>
      </c>
      <c r="C398" s="381" t="s">
        <v>784</v>
      </c>
      <c r="D398" s="485"/>
      <c r="E398" s="506"/>
      <c r="F398" s="463">
        <f t="shared" si="103"/>
        <v>0</v>
      </c>
      <c r="G398" s="468"/>
      <c r="H398" s="133"/>
    </row>
    <row r="399" spans="2:8" ht="15.5" x14ac:dyDescent="0.35">
      <c r="B399" s="378">
        <v>7315</v>
      </c>
      <c r="C399" s="381" t="s">
        <v>788</v>
      </c>
      <c r="E399" s="506"/>
      <c r="F399" s="463">
        <f>IF(D400&gt;=E399,D400-E399,D400-E399)</f>
        <v>0</v>
      </c>
      <c r="G399" s="468"/>
      <c r="H399" s="133"/>
    </row>
    <row r="400" spans="2:8" ht="15.5" x14ac:dyDescent="0.35">
      <c r="B400" s="378">
        <v>7316</v>
      </c>
      <c r="C400" s="381" t="s">
        <v>798</v>
      </c>
      <c r="D400" s="485"/>
      <c r="E400" s="506"/>
      <c r="F400" s="463">
        <f>IF(D401&gt;=E400,D401-E400,D401-E400)</f>
        <v>0</v>
      </c>
      <c r="G400" s="468"/>
      <c r="H400" s="133"/>
    </row>
    <row r="401" spans="2:8" ht="15.5" x14ac:dyDescent="0.35">
      <c r="B401" s="378">
        <v>7319</v>
      </c>
      <c r="C401" s="379" t="s">
        <v>802</v>
      </c>
      <c r="D401" s="484"/>
      <c r="E401" s="505"/>
      <c r="F401" s="463">
        <f t="shared" si="103"/>
        <v>0</v>
      </c>
      <c r="G401" s="468"/>
      <c r="H401" s="133"/>
    </row>
    <row r="402" spans="2:8" ht="15.5" x14ac:dyDescent="0.35">
      <c r="B402" s="409">
        <v>732</v>
      </c>
      <c r="C402" s="407" t="s">
        <v>63</v>
      </c>
      <c r="D402" s="457">
        <f t="shared" ref="D402:E402" si="104">SUM(D403:D407)</f>
        <v>8417063.0399999991</v>
      </c>
      <c r="E402" s="457">
        <f t="shared" si="104"/>
        <v>0</v>
      </c>
      <c r="F402" s="457">
        <f t="shared" si="103"/>
        <v>8417063.0399999991</v>
      </c>
      <c r="G402" s="467">
        <f>SUM(G403:G407)</f>
        <v>0</v>
      </c>
      <c r="H402" s="133"/>
    </row>
    <row r="403" spans="2:8" ht="15.5" x14ac:dyDescent="0.35">
      <c r="B403" s="378">
        <v>7321</v>
      </c>
      <c r="C403" s="381" t="s">
        <v>810</v>
      </c>
      <c r="D403" s="485">
        <v>8417063.0399999991</v>
      </c>
      <c r="E403" s="506"/>
      <c r="F403" s="463">
        <f t="shared" si="103"/>
        <v>8417063.0399999991</v>
      </c>
      <c r="G403" s="468"/>
      <c r="H403" s="133"/>
    </row>
    <row r="404" spans="2:8" ht="15.5" x14ac:dyDescent="0.35">
      <c r="B404" s="378">
        <v>7322</v>
      </c>
      <c r="C404" s="381" t="s">
        <v>811</v>
      </c>
      <c r="D404" s="485"/>
      <c r="E404" s="506"/>
      <c r="F404" s="463">
        <f t="shared" si="103"/>
        <v>0</v>
      </c>
      <c r="G404" s="468"/>
      <c r="H404" s="133"/>
    </row>
    <row r="405" spans="2:8" ht="15.5" x14ac:dyDescent="0.35">
      <c r="B405" s="378">
        <v>7323</v>
      </c>
      <c r="C405" s="400" t="s">
        <v>1173</v>
      </c>
      <c r="D405" s="501"/>
      <c r="E405" s="522"/>
      <c r="F405" s="463">
        <f t="shared" si="103"/>
        <v>0</v>
      </c>
      <c r="G405" s="468"/>
      <c r="H405" s="133"/>
    </row>
    <row r="406" spans="2:8" ht="15.5" x14ac:dyDescent="0.35">
      <c r="B406" s="378">
        <v>7324</v>
      </c>
      <c r="C406" s="381" t="s">
        <v>818</v>
      </c>
      <c r="D406" s="485"/>
      <c r="E406" s="506"/>
      <c r="F406" s="463">
        <f t="shared" si="103"/>
        <v>0</v>
      </c>
      <c r="G406" s="468"/>
      <c r="H406" s="133"/>
    </row>
    <row r="407" spans="2:8" ht="15.5" x14ac:dyDescent="0.35">
      <c r="B407" s="378">
        <v>7329</v>
      </c>
      <c r="C407" s="379" t="s">
        <v>819</v>
      </c>
      <c r="D407" s="484"/>
      <c r="E407" s="505"/>
      <c r="F407" s="463">
        <f t="shared" si="103"/>
        <v>0</v>
      </c>
      <c r="G407" s="468"/>
      <c r="H407" s="133"/>
    </row>
    <row r="408" spans="2:8" ht="15.5" x14ac:dyDescent="0.35">
      <c r="B408" s="170">
        <v>75</v>
      </c>
      <c r="C408" s="168" t="s">
        <v>635</v>
      </c>
      <c r="D408" s="456">
        <f t="shared" ref="D408:E408" si="105">SUM(D409:D415)</f>
        <v>1630174424.96</v>
      </c>
      <c r="E408" s="456">
        <f t="shared" si="105"/>
        <v>129991752.93000001</v>
      </c>
      <c r="F408" s="456">
        <f t="shared" si="103"/>
        <v>1500182672.03</v>
      </c>
      <c r="G408" s="470">
        <f>SUM(G409:G415)</f>
        <v>0</v>
      </c>
      <c r="H408" s="133"/>
    </row>
    <row r="409" spans="2:8" ht="15.5" x14ac:dyDescent="0.35">
      <c r="B409" s="396">
        <v>751</v>
      </c>
      <c r="C409" s="392" t="s">
        <v>1174</v>
      </c>
      <c r="D409" s="488"/>
      <c r="E409" s="509"/>
      <c r="F409" s="463">
        <f t="shared" si="103"/>
        <v>0</v>
      </c>
      <c r="G409" s="468"/>
      <c r="H409" s="133"/>
    </row>
    <row r="410" spans="2:8" ht="15.5" x14ac:dyDescent="0.35">
      <c r="B410" s="384">
        <v>752</v>
      </c>
      <c r="C410" s="393" t="s">
        <v>1175</v>
      </c>
      <c r="D410" s="489">
        <v>1626293607.96</v>
      </c>
      <c r="E410" s="510">
        <v>129991752.93000001</v>
      </c>
      <c r="F410" s="463">
        <f t="shared" si="103"/>
        <v>1496301855.03</v>
      </c>
      <c r="G410" s="468"/>
      <c r="H410" s="133"/>
    </row>
    <row r="411" spans="2:8" ht="15.5" x14ac:dyDescent="0.35">
      <c r="B411" s="396">
        <v>753</v>
      </c>
      <c r="C411" s="392" t="s">
        <v>1176</v>
      </c>
      <c r="D411" s="488">
        <v>3880817</v>
      </c>
      <c r="E411" s="509">
        <v>0</v>
      </c>
      <c r="F411" s="463">
        <f t="shared" si="103"/>
        <v>3880817</v>
      </c>
      <c r="G411" s="468"/>
      <c r="H411" s="133"/>
    </row>
    <row r="412" spans="2:8" ht="15.5" x14ac:dyDescent="0.35">
      <c r="B412" s="384">
        <v>754</v>
      </c>
      <c r="C412" s="393" t="s">
        <v>1177</v>
      </c>
      <c r="D412" s="489"/>
      <c r="E412" s="510"/>
      <c r="F412" s="463">
        <f t="shared" si="103"/>
        <v>0</v>
      </c>
      <c r="G412" s="468"/>
      <c r="H412" s="133"/>
    </row>
    <row r="413" spans="2:8" ht="15.5" x14ac:dyDescent="0.35">
      <c r="B413" s="396">
        <v>755</v>
      </c>
      <c r="C413" s="392" t="s">
        <v>1178</v>
      </c>
      <c r="D413" s="488"/>
      <c r="E413" s="509"/>
      <c r="F413" s="463">
        <f t="shared" si="103"/>
        <v>0</v>
      </c>
      <c r="G413" s="468"/>
      <c r="H413" s="133"/>
    </row>
    <row r="414" spans="2:8" ht="15.5" x14ac:dyDescent="0.35">
      <c r="B414" s="384">
        <v>756</v>
      </c>
      <c r="C414" s="393" t="s">
        <v>1179</v>
      </c>
      <c r="D414" s="489"/>
      <c r="E414" s="510"/>
      <c r="F414" s="463">
        <f t="shared" si="103"/>
        <v>0</v>
      </c>
      <c r="G414" s="468"/>
      <c r="H414" s="133"/>
    </row>
    <row r="415" spans="2:8" ht="15.5" x14ac:dyDescent="0.35">
      <c r="B415" s="396">
        <v>758</v>
      </c>
      <c r="C415" s="392" t="s">
        <v>635</v>
      </c>
      <c r="D415" s="488"/>
      <c r="E415" s="509"/>
      <c r="F415" s="463">
        <f t="shared" si="103"/>
        <v>0</v>
      </c>
      <c r="G415" s="468"/>
      <c r="H415" s="133"/>
    </row>
    <row r="416" spans="2:8" ht="15.5" x14ac:dyDescent="0.35">
      <c r="B416" s="174">
        <v>76</v>
      </c>
      <c r="C416" s="166" t="s">
        <v>1180</v>
      </c>
      <c r="D416" s="456">
        <f t="shared" ref="D416:E416" si="106">D417+D422+D423+D424+D425+D428+D431</f>
        <v>15878780.16</v>
      </c>
      <c r="E416" s="456">
        <f t="shared" si="106"/>
        <v>0</v>
      </c>
      <c r="F416" s="456">
        <f t="shared" si="103"/>
        <v>15878780.16</v>
      </c>
      <c r="G416" s="470">
        <f>G417+G422+G423+G424+G425+G428+G431</f>
        <v>0</v>
      </c>
      <c r="H416" s="133"/>
    </row>
    <row r="417" spans="2:8" ht="15.5" x14ac:dyDescent="0.35">
      <c r="B417" s="408">
        <v>761</v>
      </c>
      <c r="C417" s="405" t="s">
        <v>981</v>
      </c>
      <c r="D417" s="457">
        <f t="shared" ref="D417:E417" si="107">SUM(D418:D421)</f>
        <v>5589279.8499999996</v>
      </c>
      <c r="E417" s="457">
        <f t="shared" si="107"/>
        <v>0</v>
      </c>
      <c r="F417" s="457">
        <f t="shared" si="103"/>
        <v>5589279.8499999996</v>
      </c>
      <c r="G417" s="469">
        <f>SUM(G418:G421)</f>
        <v>0</v>
      </c>
      <c r="H417" s="133"/>
    </row>
    <row r="418" spans="2:8" ht="15.5" x14ac:dyDescent="0.35">
      <c r="B418" s="390">
        <v>7611</v>
      </c>
      <c r="C418" s="381" t="s">
        <v>1181</v>
      </c>
      <c r="D418" s="485">
        <v>5589279.8499999996</v>
      </c>
      <c r="E418" s="506"/>
      <c r="F418" s="463">
        <f t="shared" si="103"/>
        <v>5589279.8499999996</v>
      </c>
      <c r="G418" s="468"/>
      <c r="H418" s="133"/>
    </row>
    <row r="419" spans="2:8" ht="15.5" x14ac:dyDescent="0.35">
      <c r="B419" s="378">
        <v>7612</v>
      </c>
      <c r="C419" s="379" t="s">
        <v>1182</v>
      </c>
      <c r="D419" s="484"/>
      <c r="E419" s="505"/>
      <c r="F419" s="463">
        <f t="shared" si="103"/>
        <v>0</v>
      </c>
      <c r="G419" s="468"/>
      <c r="H419" s="133"/>
    </row>
    <row r="420" spans="2:8" ht="15.5" x14ac:dyDescent="0.35">
      <c r="B420" s="390">
        <v>7613</v>
      </c>
      <c r="C420" s="381" t="s">
        <v>1183</v>
      </c>
      <c r="D420" s="485"/>
      <c r="E420" s="506"/>
      <c r="F420" s="463">
        <f t="shared" si="103"/>
        <v>0</v>
      </c>
      <c r="G420" s="468"/>
      <c r="H420" s="133"/>
    </row>
    <row r="421" spans="2:8" ht="15.5" x14ac:dyDescent="0.35">
      <c r="B421" s="378">
        <v>7614</v>
      </c>
      <c r="C421" s="379" t="s">
        <v>1184</v>
      </c>
      <c r="D421" s="484"/>
      <c r="E421" s="505"/>
      <c r="F421" s="463">
        <f t="shared" si="103"/>
        <v>0</v>
      </c>
      <c r="G421" s="468"/>
      <c r="H421" s="133"/>
    </row>
    <row r="422" spans="2:8" ht="15.5" x14ac:dyDescent="0.35">
      <c r="B422" s="396">
        <v>762</v>
      </c>
      <c r="C422" s="392" t="s">
        <v>1185</v>
      </c>
      <c r="D422" s="488">
        <v>2003818.32</v>
      </c>
      <c r="E422" s="509"/>
      <c r="F422" s="463">
        <f t="shared" si="103"/>
        <v>2003818.32</v>
      </c>
      <c r="G422" s="468"/>
      <c r="H422" s="133"/>
    </row>
    <row r="423" spans="2:8" ht="15.5" x14ac:dyDescent="0.35">
      <c r="B423" s="384">
        <v>763</v>
      </c>
      <c r="C423" s="393" t="s">
        <v>1186</v>
      </c>
      <c r="D423" s="489"/>
      <c r="E423" s="510"/>
      <c r="F423" s="463">
        <f t="shared" si="103"/>
        <v>0</v>
      </c>
      <c r="G423" s="468"/>
      <c r="H423" s="133"/>
    </row>
    <row r="424" spans="2:8" ht="15.5" x14ac:dyDescent="0.35">
      <c r="B424" s="396">
        <v>764</v>
      </c>
      <c r="C424" s="403" t="s">
        <v>1187</v>
      </c>
      <c r="D424" s="502"/>
      <c r="E424" s="523"/>
      <c r="F424" s="463">
        <f t="shared" si="103"/>
        <v>0</v>
      </c>
      <c r="G424" s="468"/>
      <c r="H424" s="133"/>
    </row>
    <row r="425" spans="2:8" ht="15.5" x14ac:dyDescent="0.35">
      <c r="B425" s="408">
        <v>765</v>
      </c>
      <c r="C425" s="405" t="s">
        <v>1188</v>
      </c>
      <c r="D425" s="457">
        <f t="shared" ref="D425:E425" si="108">D426+D427</f>
        <v>0</v>
      </c>
      <c r="E425" s="457">
        <f t="shared" si="108"/>
        <v>0</v>
      </c>
      <c r="F425" s="457">
        <f t="shared" si="103"/>
        <v>0</v>
      </c>
      <c r="G425" s="469">
        <f>G426+G427</f>
        <v>0</v>
      </c>
      <c r="H425" s="133"/>
    </row>
    <row r="426" spans="2:8" ht="15.5" x14ac:dyDescent="0.35">
      <c r="B426" s="378">
        <v>7651</v>
      </c>
      <c r="C426" s="379" t="s">
        <v>1131</v>
      </c>
      <c r="D426" s="484"/>
      <c r="E426" s="505"/>
      <c r="F426" s="463">
        <f t="shared" si="103"/>
        <v>0</v>
      </c>
      <c r="G426" s="468"/>
      <c r="H426" s="133"/>
    </row>
    <row r="427" spans="2:8" ht="15.5" x14ac:dyDescent="0.35">
      <c r="B427" s="378">
        <v>7652</v>
      </c>
      <c r="C427" s="379" t="s">
        <v>1133</v>
      </c>
      <c r="D427" s="484"/>
      <c r="E427" s="505"/>
      <c r="F427" s="463">
        <f t="shared" si="103"/>
        <v>0</v>
      </c>
      <c r="G427" s="468"/>
      <c r="H427" s="133"/>
    </row>
    <row r="428" spans="2:8" ht="15.5" x14ac:dyDescent="0.35">
      <c r="B428" s="409">
        <v>766</v>
      </c>
      <c r="C428" s="407" t="s">
        <v>1189</v>
      </c>
      <c r="D428" s="457">
        <f t="shared" ref="D428:E428" si="109">D429+D430</f>
        <v>0</v>
      </c>
      <c r="E428" s="457">
        <f t="shared" si="109"/>
        <v>0</v>
      </c>
      <c r="F428" s="457">
        <f t="shared" si="103"/>
        <v>0</v>
      </c>
      <c r="G428" s="467">
        <f>G429+G430</f>
        <v>0</v>
      </c>
      <c r="H428" s="133"/>
    </row>
    <row r="429" spans="2:8" ht="15.5" x14ac:dyDescent="0.35">
      <c r="B429" s="378">
        <v>7661</v>
      </c>
      <c r="C429" s="379" t="s">
        <v>1131</v>
      </c>
      <c r="D429" s="484"/>
      <c r="E429" s="505"/>
      <c r="F429" s="463">
        <f t="shared" si="103"/>
        <v>0</v>
      </c>
      <c r="G429" s="468"/>
      <c r="H429" s="133"/>
    </row>
    <row r="430" spans="2:8" ht="15.5" x14ac:dyDescent="0.35">
      <c r="B430" s="390">
        <v>7662</v>
      </c>
      <c r="C430" s="381" t="s">
        <v>1190</v>
      </c>
      <c r="D430" s="485"/>
      <c r="E430" s="506"/>
      <c r="F430" s="463">
        <f t="shared" si="103"/>
        <v>0</v>
      </c>
      <c r="G430" s="468"/>
      <c r="H430" s="133"/>
    </row>
    <row r="431" spans="2:8" ht="15.5" x14ac:dyDescent="0.35">
      <c r="B431" s="384">
        <v>767</v>
      </c>
      <c r="C431" s="393" t="s">
        <v>1191</v>
      </c>
      <c r="D431" s="489">
        <v>8285681.9900000002</v>
      </c>
      <c r="E431" s="510"/>
      <c r="F431" s="463">
        <f t="shared" si="103"/>
        <v>8285681.9900000002</v>
      </c>
      <c r="G431" s="468"/>
      <c r="H431" s="133"/>
    </row>
    <row r="432" spans="2:8" ht="15.5" x14ac:dyDescent="0.35">
      <c r="B432" s="170">
        <v>77</v>
      </c>
      <c r="C432" s="168" t="s">
        <v>1192</v>
      </c>
      <c r="D432" s="460">
        <f t="shared" ref="D432:E432" si="110">SUM(D433:D434)</f>
        <v>0</v>
      </c>
      <c r="E432" s="460">
        <f t="shared" si="110"/>
        <v>0</v>
      </c>
      <c r="F432" s="456">
        <f t="shared" si="103"/>
        <v>0</v>
      </c>
      <c r="G432" s="475">
        <f>SUM(G433:G434)</f>
        <v>0</v>
      </c>
      <c r="H432" s="133"/>
    </row>
    <row r="433" spans="2:8" ht="15.5" x14ac:dyDescent="0.35">
      <c r="B433" s="384">
        <v>771</v>
      </c>
      <c r="C433" s="393" t="s">
        <v>1193</v>
      </c>
      <c r="D433" s="489"/>
      <c r="E433" s="510"/>
      <c r="F433" s="463">
        <f t="shared" si="103"/>
        <v>0</v>
      </c>
      <c r="G433" s="468"/>
      <c r="H433" s="133"/>
    </row>
    <row r="434" spans="2:8" ht="15.5" x14ac:dyDescent="0.35">
      <c r="B434" s="384">
        <v>772</v>
      </c>
      <c r="C434" s="393" t="s">
        <v>1194</v>
      </c>
      <c r="D434" s="489"/>
      <c r="E434" s="510"/>
      <c r="F434" s="463">
        <f t="shared" si="103"/>
        <v>0</v>
      </c>
      <c r="G434" s="468"/>
      <c r="H434" s="133"/>
    </row>
    <row r="435" spans="2:8" ht="15.5" x14ac:dyDescent="0.35">
      <c r="B435" s="170">
        <v>78</v>
      </c>
      <c r="C435" s="168" t="s">
        <v>691</v>
      </c>
      <c r="D435" s="456">
        <f>D436+SUM(D440:D449)</f>
        <v>1081349802.98</v>
      </c>
      <c r="E435" s="456">
        <f>E436+SUM(E440:E449)</f>
        <v>61924006.850000001</v>
      </c>
      <c r="F435" s="456">
        <f t="shared" si="103"/>
        <v>1019425796.13</v>
      </c>
      <c r="G435" s="470">
        <f>G436+SUM(G440:G447)</f>
        <v>0</v>
      </c>
      <c r="H435" s="133"/>
    </row>
    <row r="436" spans="2:8" ht="15.5" x14ac:dyDescent="0.35">
      <c r="B436" s="409">
        <v>781</v>
      </c>
      <c r="C436" s="407" t="s">
        <v>1195</v>
      </c>
      <c r="D436" s="457">
        <f t="shared" ref="D436:E436" si="111">SUM(D437:D439)</f>
        <v>510234637.59000003</v>
      </c>
      <c r="E436" s="457">
        <f t="shared" si="111"/>
        <v>0</v>
      </c>
      <c r="F436" s="457">
        <f t="shared" si="103"/>
        <v>510234637.59000003</v>
      </c>
      <c r="G436" s="467">
        <f>SUM(G437:G439)</f>
        <v>0</v>
      </c>
      <c r="H436" s="133"/>
    </row>
    <row r="437" spans="2:8" ht="15.5" x14ac:dyDescent="0.35">
      <c r="B437" s="378">
        <v>7811</v>
      </c>
      <c r="C437" s="379" t="s">
        <v>154</v>
      </c>
      <c r="D437" s="487">
        <v>267397853.72</v>
      </c>
      <c r="E437" s="508">
        <v>0</v>
      </c>
      <c r="F437" s="463">
        <f t="shared" si="103"/>
        <v>267397853.72</v>
      </c>
      <c r="G437" s="473"/>
      <c r="H437" s="133"/>
    </row>
    <row r="438" spans="2:8" ht="15.5" x14ac:dyDescent="0.35">
      <c r="B438" s="390">
        <v>7812</v>
      </c>
      <c r="C438" s="381" t="s">
        <v>1137</v>
      </c>
      <c r="D438" s="486">
        <v>242836783.87</v>
      </c>
      <c r="E438" s="507"/>
      <c r="F438" s="463">
        <f t="shared" si="103"/>
        <v>242836783.87</v>
      </c>
      <c r="G438" s="473"/>
      <c r="H438" s="133"/>
    </row>
    <row r="439" spans="2:8" ht="15.5" x14ac:dyDescent="0.35">
      <c r="B439" s="378">
        <v>7813</v>
      </c>
      <c r="C439" s="379" t="s">
        <v>1138</v>
      </c>
      <c r="D439" s="487"/>
      <c r="E439" s="508"/>
      <c r="F439" s="463">
        <f t="shared" si="103"/>
        <v>0</v>
      </c>
      <c r="G439" s="473"/>
      <c r="H439" s="133"/>
    </row>
    <row r="440" spans="2:8" ht="15.5" x14ac:dyDescent="0.35">
      <c r="B440" s="409">
        <v>782</v>
      </c>
      <c r="C440" s="407" t="s">
        <v>1196</v>
      </c>
      <c r="D440" s="488"/>
      <c r="E440" s="509"/>
      <c r="F440" s="463">
        <f t="shared" si="103"/>
        <v>0</v>
      </c>
      <c r="G440" s="473"/>
      <c r="H440" s="133"/>
    </row>
    <row r="441" spans="2:8" ht="15.5" x14ac:dyDescent="0.35">
      <c r="B441" s="408">
        <v>783</v>
      </c>
      <c r="C441" s="405" t="s">
        <v>1197</v>
      </c>
      <c r="D441" s="489"/>
      <c r="E441" s="510"/>
      <c r="F441" s="463">
        <f t="shared" si="103"/>
        <v>0</v>
      </c>
      <c r="G441" s="471"/>
      <c r="H441" s="133"/>
    </row>
    <row r="442" spans="2:8" ht="15.5" x14ac:dyDescent="0.35">
      <c r="B442" s="408">
        <v>784</v>
      </c>
      <c r="C442" s="405" t="s">
        <v>1197</v>
      </c>
      <c r="D442" s="489"/>
      <c r="E442" s="510"/>
      <c r="F442" s="463">
        <f t="shared" si="103"/>
        <v>0</v>
      </c>
      <c r="G442" s="473"/>
      <c r="H442" s="133"/>
    </row>
    <row r="443" spans="2:8" ht="15.5" x14ac:dyDescent="0.35">
      <c r="B443" s="408">
        <v>785</v>
      </c>
      <c r="C443" s="405" t="s">
        <v>1198</v>
      </c>
      <c r="D443" s="489">
        <v>415495770.25999999</v>
      </c>
      <c r="E443" s="510"/>
      <c r="F443" s="463">
        <f t="shared" si="103"/>
        <v>415495770.25999999</v>
      </c>
      <c r="G443" s="473"/>
      <c r="H443" s="133"/>
    </row>
    <row r="444" spans="2:8" ht="15.5" x14ac:dyDescent="0.35">
      <c r="B444" s="408">
        <v>786</v>
      </c>
      <c r="C444" s="405" t="s">
        <v>1199</v>
      </c>
      <c r="D444" s="489">
        <v>77000</v>
      </c>
      <c r="E444" s="510"/>
      <c r="F444" s="463">
        <f t="shared" si="103"/>
        <v>77000</v>
      </c>
      <c r="G444" s="473"/>
      <c r="H444" s="133"/>
    </row>
    <row r="445" spans="2:8" ht="15.5" x14ac:dyDescent="0.35">
      <c r="B445" s="408">
        <v>787</v>
      </c>
      <c r="C445" s="405" t="s">
        <v>1200</v>
      </c>
      <c r="D445" s="489"/>
      <c r="E445" s="510"/>
      <c r="F445" s="463">
        <f t="shared" si="103"/>
        <v>0</v>
      </c>
      <c r="G445" s="473"/>
      <c r="H445" s="133"/>
    </row>
    <row r="446" spans="2:8" ht="15.5" x14ac:dyDescent="0.35">
      <c r="B446" s="408">
        <v>788</v>
      </c>
      <c r="C446" s="405" t="s">
        <v>1144</v>
      </c>
      <c r="D446" s="489"/>
      <c r="E446" s="510"/>
      <c r="F446" s="463">
        <f t="shared" si="103"/>
        <v>0</v>
      </c>
      <c r="G446" s="473"/>
      <c r="H446" s="133"/>
    </row>
    <row r="447" spans="2:8" ht="15.5" x14ac:dyDescent="0.35">
      <c r="B447" s="408">
        <v>789</v>
      </c>
      <c r="C447" s="405" t="s">
        <v>1145</v>
      </c>
      <c r="D447" s="489"/>
      <c r="E447" s="510"/>
      <c r="F447" s="463">
        <f t="shared" si="103"/>
        <v>0</v>
      </c>
      <c r="G447" s="471">
        <f>G448+G449</f>
        <v>0</v>
      </c>
      <c r="H447" s="133"/>
    </row>
    <row r="448" spans="2:8" ht="15.5" x14ac:dyDescent="0.35">
      <c r="B448" s="384">
        <v>7810</v>
      </c>
      <c r="C448" s="393" t="s">
        <v>1146</v>
      </c>
      <c r="D448" s="489">
        <v>155542395.13</v>
      </c>
      <c r="E448" s="510">
        <v>61924006.850000001</v>
      </c>
      <c r="F448" s="463">
        <f t="shared" si="103"/>
        <v>93618388.280000001</v>
      </c>
      <c r="G448" s="473"/>
      <c r="H448" s="133"/>
    </row>
    <row r="449" spans="2:10" ht="15.5" x14ac:dyDescent="0.35">
      <c r="B449" s="384">
        <v>7813</v>
      </c>
      <c r="C449" s="393" t="s">
        <v>1138</v>
      </c>
      <c r="D449" s="489"/>
      <c r="E449" s="510"/>
      <c r="F449" s="463">
        <f t="shared" si="103"/>
        <v>0</v>
      </c>
      <c r="G449" s="473"/>
      <c r="H449" s="133"/>
      <c r="I449" s="70"/>
    </row>
    <row r="450" spans="2:10" ht="15.5" x14ac:dyDescent="0.35">
      <c r="B450" s="170">
        <v>79</v>
      </c>
      <c r="C450" s="168" t="s">
        <v>726</v>
      </c>
      <c r="D450" s="456">
        <f t="shared" ref="D450:E450" si="112">SUM(D451:D454)</f>
        <v>0</v>
      </c>
      <c r="E450" s="456">
        <f t="shared" si="112"/>
        <v>0</v>
      </c>
      <c r="F450" s="456">
        <f t="shared" si="103"/>
        <v>0</v>
      </c>
      <c r="G450" s="470">
        <f>SUM(G451:G454)</f>
        <v>0</v>
      </c>
      <c r="H450" s="133"/>
      <c r="I450" s="70"/>
    </row>
    <row r="451" spans="2:10" ht="15.5" x14ac:dyDescent="0.35">
      <c r="B451" s="384">
        <v>791</v>
      </c>
      <c r="C451" s="393" t="s">
        <v>1201</v>
      </c>
      <c r="D451" s="489"/>
      <c r="E451" s="510"/>
      <c r="F451" s="463">
        <f t="shared" si="103"/>
        <v>0</v>
      </c>
      <c r="G451" s="468"/>
      <c r="H451" s="133"/>
      <c r="I451" s="70"/>
    </row>
    <row r="452" spans="2:10" ht="15.5" x14ac:dyDescent="0.35">
      <c r="B452" s="384">
        <v>792</v>
      </c>
      <c r="C452" s="393" t="s">
        <v>1202</v>
      </c>
      <c r="D452" s="489"/>
      <c r="E452" s="510"/>
      <c r="F452" s="463">
        <f t="shared" si="103"/>
        <v>0</v>
      </c>
      <c r="G452" s="468"/>
      <c r="H452" s="133"/>
      <c r="I452" s="70"/>
      <c r="J452" s="70"/>
    </row>
    <row r="453" spans="2:10" ht="15.5" x14ac:dyDescent="0.35">
      <c r="B453" s="384">
        <v>793</v>
      </c>
      <c r="C453" s="393" t="s">
        <v>1203</v>
      </c>
      <c r="D453" s="489"/>
      <c r="E453" s="510"/>
      <c r="F453" s="463">
        <f t="shared" si="103"/>
        <v>0</v>
      </c>
      <c r="G453" s="468"/>
      <c r="H453" s="133"/>
      <c r="J453" s="71"/>
    </row>
    <row r="454" spans="2:10" ht="15.5" x14ac:dyDescent="0.35">
      <c r="B454" s="384">
        <v>794</v>
      </c>
      <c r="C454" s="393" t="s">
        <v>1204</v>
      </c>
      <c r="D454" s="489"/>
      <c r="E454" s="510"/>
      <c r="F454" s="463">
        <f t="shared" si="103"/>
        <v>0</v>
      </c>
      <c r="G454" s="468"/>
      <c r="H454" s="133"/>
    </row>
    <row r="455" spans="2:10" ht="15.5" x14ac:dyDescent="0.35">
      <c r="B455" s="170">
        <v>88</v>
      </c>
      <c r="C455" s="185" t="s">
        <v>1205</v>
      </c>
      <c r="D455" s="456">
        <f t="shared" ref="D455:E455" si="113">D457</f>
        <v>-7024518958.1900005</v>
      </c>
      <c r="E455" s="456">
        <f t="shared" si="113"/>
        <v>-5350318765.2400007</v>
      </c>
      <c r="F455" s="456">
        <f t="shared" si="103"/>
        <v>-1674200192.9499998</v>
      </c>
      <c r="G455" s="470">
        <f>G457</f>
        <v>0</v>
      </c>
      <c r="H455" s="133"/>
      <c r="I455" s="72"/>
    </row>
    <row r="456" spans="2:10" ht="15.5" x14ac:dyDescent="0.35">
      <c r="B456" s="186"/>
      <c r="C456" s="187"/>
      <c r="D456" s="504"/>
      <c r="E456" s="504"/>
      <c r="F456" s="504"/>
      <c r="G456" s="480"/>
      <c r="H456" s="133"/>
      <c r="I456" s="71">
        <f>G455-G457</f>
        <v>0</v>
      </c>
    </row>
    <row r="457" spans="2:10" ht="15.5" x14ac:dyDescent="0.35">
      <c r="B457" s="171" t="s">
        <v>1206</v>
      </c>
      <c r="C457" s="172" t="s">
        <v>1207</v>
      </c>
      <c r="D457" s="455">
        <f t="shared" ref="D457:E457" si="114">D458+D461+D471+D474+D477+D481+D484</f>
        <v>-7024518958.1900005</v>
      </c>
      <c r="E457" s="455">
        <f t="shared" si="114"/>
        <v>-5350318765.2400007</v>
      </c>
      <c r="F457" s="455">
        <f>F458+F461+F471+F474+F477+F481+F484</f>
        <v>-1674200192.9499998</v>
      </c>
      <c r="G457" s="474">
        <f>G458+G461+G471+G474+G477+G481+G484</f>
        <v>0</v>
      </c>
      <c r="H457" s="133"/>
      <c r="I457" s="71">
        <f>I456/2</f>
        <v>0</v>
      </c>
    </row>
    <row r="458" spans="2:10" ht="15.5" x14ac:dyDescent="0.35">
      <c r="B458" s="174" t="s">
        <v>1208</v>
      </c>
      <c r="C458" s="166" t="s">
        <v>1209</v>
      </c>
      <c r="D458" s="456">
        <f t="shared" ref="D458:E458" si="115">D459+D460</f>
        <v>0</v>
      </c>
      <c r="E458" s="456">
        <f t="shared" si="115"/>
        <v>0</v>
      </c>
      <c r="F458" s="456">
        <f>F459+F460</f>
        <v>0</v>
      </c>
      <c r="G458" s="475">
        <f>G459+G460</f>
        <v>0</v>
      </c>
      <c r="H458" s="133"/>
    </row>
    <row r="459" spans="2:10" ht="15.5" x14ac:dyDescent="0.35">
      <c r="B459" s="384">
        <v>812</v>
      </c>
      <c r="C459" s="393" t="s">
        <v>1210</v>
      </c>
      <c r="D459" s="489"/>
      <c r="E459" s="510"/>
      <c r="F459" s="454">
        <v>0</v>
      </c>
      <c r="G459" s="468"/>
      <c r="H459" s="133"/>
    </row>
    <row r="460" spans="2:10" ht="15.5" x14ac:dyDescent="0.35">
      <c r="B460" s="396">
        <v>812</v>
      </c>
      <c r="C460" s="393" t="s">
        <v>1210</v>
      </c>
      <c r="D460" s="489"/>
      <c r="E460" s="510"/>
      <c r="F460" s="463">
        <v>0</v>
      </c>
      <c r="G460" s="481"/>
      <c r="H460" s="133"/>
    </row>
    <row r="461" spans="2:10" ht="15.5" x14ac:dyDescent="0.35">
      <c r="B461" s="170" t="s">
        <v>1211</v>
      </c>
      <c r="C461" s="168" t="s">
        <v>1212</v>
      </c>
      <c r="D461" s="456">
        <f t="shared" ref="D461:E461" si="116">-SUM(D462:D470)</f>
        <v>-5926790375.0500002</v>
      </c>
      <c r="E461" s="456">
        <f t="shared" si="116"/>
        <v>-5252804867.2600002</v>
      </c>
      <c r="F461" s="456">
        <f>-SUM(F462:F470)</f>
        <v>-673985507.78999996</v>
      </c>
      <c r="G461" s="470">
        <f>-SUM(G462:G470)</f>
        <v>0</v>
      </c>
      <c r="H461" s="133"/>
    </row>
    <row r="462" spans="2:10" ht="15.5" x14ac:dyDescent="0.35">
      <c r="B462" s="409" t="s">
        <v>1213</v>
      </c>
      <c r="C462" s="407" t="s">
        <v>420</v>
      </c>
      <c r="D462" s="464">
        <f>D301</f>
        <v>0</v>
      </c>
      <c r="E462" s="464">
        <f>E301</f>
        <v>0</v>
      </c>
      <c r="F462" s="464">
        <f>F301</f>
        <v>0</v>
      </c>
      <c r="G462" s="482">
        <f>G301</f>
        <v>0</v>
      </c>
      <c r="H462" s="133"/>
    </row>
    <row r="463" spans="2:10" ht="15.5" x14ac:dyDescent="0.35">
      <c r="B463" s="408" t="s">
        <v>1214</v>
      </c>
      <c r="C463" s="405" t="s">
        <v>1215</v>
      </c>
      <c r="D463" s="465">
        <f>D309</f>
        <v>289137792.13999999</v>
      </c>
      <c r="E463" s="465">
        <f>E309</f>
        <v>2058350119.8600001</v>
      </c>
      <c r="F463" s="465">
        <f>F309</f>
        <v>-1769212327.7200003</v>
      </c>
      <c r="G463" s="483">
        <f>G309</f>
        <v>0</v>
      </c>
      <c r="H463" s="133"/>
    </row>
    <row r="464" spans="2:10" ht="15.5" x14ac:dyDescent="0.35">
      <c r="B464" s="409" t="s">
        <v>1216</v>
      </c>
      <c r="C464" s="407" t="s">
        <v>458</v>
      </c>
      <c r="D464" s="464">
        <f>D313</f>
        <v>0</v>
      </c>
      <c r="E464" s="464">
        <f>E313</f>
        <v>3062918878.1999998</v>
      </c>
      <c r="F464" s="464">
        <f>F313</f>
        <v>-3062918878.1999998</v>
      </c>
      <c r="G464" s="482">
        <f>G313</f>
        <v>0</v>
      </c>
      <c r="H464" s="133"/>
    </row>
    <row r="465" spans="2:8" ht="15.5" x14ac:dyDescent="0.35">
      <c r="B465" s="408">
        <v>824</v>
      </c>
      <c r="C465" s="407" t="s">
        <v>1109</v>
      </c>
      <c r="D465" s="464">
        <f>D324</f>
        <v>0</v>
      </c>
      <c r="E465" s="464">
        <f>E324</f>
        <v>0</v>
      </c>
      <c r="F465" s="464">
        <f>F324</f>
        <v>0</v>
      </c>
      <c r="G465" s="482">
        <f>G324</f>
        <v>0</v>
      </c>
      <c r="H465" s="133"/>
    </row>
    <row r="466" spans="2:8" ht="15.5" x14ac:dyDescent="0.35">
      <c r="B466" s="408">
        <v>825</v>
      </c>
      <c r="C466" s="407" t="s">
        <v>493</v>
      </c>
      <c r="D466" s="464">
        <f>D328</f>
        <v>0</v>
      </c>
      <c r="E466" s="464">
        <f>E328</f>
        <v>0</v>
      </c>
      <c r="F466" s="464">
        <f>F328</f>
        <v>0</v>
      </c>
      <c r="G466" s="482">
        <f>G328</f>
        <v>0</v>
      </c>
      <c r="H466" s="133"/>
    </row>
    <row r="467" spans="2:8" ht="15.5" x14ac:dyDescent="0.35">
      <c r="B467" s="408" t="s">
        <v>1217</v>
      </c>
      <c r="C467" s="405" t="s">
        <v>1218</v>
      </c>
      <c r="D467" s="464">
        <f>D378</f>
        <v>180034097.24000001</v>
      </c>
      <c r="E467" s="464">
        <f>E378</f>
        <v>349316.27</v>
      </c>
      <c r="F467" s="464">
        <f>F378</f>
        <v>179684780.97</v>
      </c>
      <c r="G467" s="482">
        <f>G378</f>
        <v>0</v>
      </c>
      <c r="H467" s="133"/>
    </row>
    <row r="468" spans="2:8" ht="15.5" x14ac:dyDescent="0.35">
      <c r="B468" s="409" t="s">
        <v>1219</v>
      </c>
      <c r="C468" s="407" t="s">
        <v>1220</v>
      </c>
      <c r="D468" s="464">
        <f>D384</f>
        <v>3319046110.2799997</v>
      </c>
      <c r="E468" s="464">
        <f>E384</f>
        <v>1194800</v>
      </c>
      <c r="F468" s="464">
        <f>F384</f>
        <v>3317851310.2799997</v>
      </c>
      <c r="G468" s="482">
        <f>G384</f>
        <v>0</v>
      </c>
      <c r="H468" s="133"/>
    </row>
    <row r="469" spans="2:8" ht="15.5" x14ac:dyDescent="0.35">
      <c r="B469" s="408" t="s">
        <v>1221</v>
      </c>
      <c r="C469" s="405" t="s">
        <v>625</v>
      </c>
      <c r="D469" s="464">
        <f>D393</f>
        <v>508397950.43000001</v>
      </c>
      <c r="E469" s="464">
        <f>E393</f>
        <v>0</v>
      </c>
      <c r="F469" s="464">
        <f>F393</f>
        <v>508397950.43000001</v>
      </c>
      <c r="G469" s="482">
        <f>G393</f>
        <v>0</v>
      </c>
      <c r="H469" s="133"/>
    </row>
    <row r="470" spans="2:8" ht="15.5" x14ac:dyDescent="0.35">
      <c r="B470" s="409" t="s">
        <v>1222</v>
      </c>
      <c r="C470" s="407" t="s">
        <v>1223</v>
      </c>
      <c r="D470" s="464">
        <f>D408</f>
        <v>1630174424.96</v>
      </c>
      <c r="E470" s="464">
        <f>E408</f>
        <v>129991752.93000001</v>
      </c>
      <c r="F470" s="464">
        <f>F408</f>
        <v>1500182672.03</v>
      </c>
      <c r="G470" s="482">
        <f>G408</f>
        <v>0</v>
      </c>
      <c r="H470" s="133"/>
    </row>
    <row r="471" spans="2:8" ht="15.5" x14ac:dyDescent="0.35">
      <c r="B471" s="170" t="s">
        <v>1224</v>
      </c>
      <c r="C471" s="168" t="s">
        <v>1225</v>
      </c>
      <c r="D471" s="456">
        <f t="shared" ref="D471:E471" si="117">SUM(D472:D473)</f>
        <v>-16378780.16</v>
      </c>
      <c r="E471" s="456">
        <f t="shared" si="117"/>
        <v>-10589891.130000001</v>
      </c>
      <c r="F471" s="456">
        <f>SUM(F472:F473)</f>
        <v>-5788889.0299999993</v>
      </c>
      <c r="G471" s="470">
        <f>-SUM(G472:G473)</f>
        <v>0</v>
      </c>
      <c r="H471" s="133"/>
    </row>
    <row r="472" spans="2:8" ht="15.5" x14ac:dyDescent="0.35">
      <c r="B472" s="409" t="s">
        <v>1226</v>
      </c>
      <c r="C472" s="407" t="s">
        <v>1114</v>
      </c>
      <c r="D472" s="464">
        <f>-D335</f>
        <v>-500000</v>
      </c>
      <c r="E472" s="464">
        <f>-E335</f>
        <v>-10589891.130000001</v>
      </c>
      <c r="F472" s="464">
        <f>-F335</f>
        <v>10089891.130000001</v>
      </c>
      <c r="G472" s="482">
        <f>G335</f>
        <v>0</v>
      </c>
      <c r="H472" s="133"/>
    </row>
    <row r="473" spans="2:8" ht="15.5" x14ac:dyDescent="0.35">
      <c r="B473" s="408" t="s">
        <v>1227</v>
      </c>
      <c r="C473" s="405" t="s">
        <v>1228</v>
      </c>
      <c r="D473" s="464">
        <f>-D416</f>
        <v>-15878780.16</v>
      </c>
      <c r="E473" s="464">
        <f>-E416</f>
        <v>0</v>
      </c>
      <c r="F473" s="464">
        <f>-F416</f>
        <v>-15878780.16</v>
      </c>
      <c r="G473" s="482">
        <f>G416</f>
        <v>0</v>
      </c>
      <c r="H473" s="133"/>
    </row>
    <row r="474" spans="2:8" ht="15.5" x14ac:dyDescent="0.35">
      <c r="B474" s="170">
        <v>84</v>
      </c>
      <c r="C474" s="168" t="s">
        <v>1229</v>
      </c>
      <c r="D474" s="456">
        <f t="shared" ref="D474:E474" si="118">SUM(D475:D476)</f>
        <v>0</v>
      </c>
      <c r="E474" s="456">
        <f t="shared" si="118"/>
        <v>0</v>
      </c>
      <c r="F474" s="456">
        <f>SUM(F475:F476)</f>
        <v>0</v>
      </c>
      <c r="G474" s="475">
        <f>G475+G476</f>
        <v>0</v>
      </c>
      <c r="H474" s="133"/>
    </row>
    <row r="475" spans="2:8" ht="15.5" x14ac:dyDescent="0.35">
      <c r="B475" s="408">
        <v>841</v>
      </c>
      <c r="C475" s="405" t="s">
        <v>1230</v>
      </c>
      <c r="D475" s="464">
        <f>D354</f>
        <v>0</v>
      </c>
      <c r="E475" s="464">
        <f>E354</f>
        <v>0</v>
      </c>
      <c r="F475" s="464">
        <f>F354</f>
        <v>0</v>
      </c>
      <c r="G475" s="482">
        <f>G354</f>
        <v>0</v>
      </c>
      <c r="H475" s="133"/>
    </row>
    <row r="476" spans="2:8" ht="15.5" x14ac:dyDescent="0.35">
      <c r="B476" s="408">
        <v>842</v>
      </c>
      <c r="C476" s="405" t="s">
        <v>1231</v>
      </c>
      <c r="D476" s="464">
        <f>D432</f>
        <v>0</v>
      </c>
      <c r="E476" s="464">
        <f>E432</f>
        <v>0</v>
      </c>
      <c r="F476" s="464">
        <f>F432</f>
        <v>0</v>
      </c>
      <c r="G476" s="482">
        <f>G432</f>
        <v>0</v>
      </c>
      <c r="H476" s="133"/>
    </row>
    <row r="477" spans="2:8" ht="15.5" x14ac:dyDescent="0.35">
      <c r="B477" s="174" t="s">
        <v>1232</v>
      </c>
      <c r="C477" s="166" t="s">
        <v>744</v>
      </c>
      <c r="D477" s="456">
        <f t="shared" ref="D477:E477" si="119">-SUM(D478:D479)</f>
        <v>-1081349802.98</v>
      </c>
      <c r="E477" s="456">
        <f t="shared" si="119"/>
        <v>-86924006.849999994</v>
      </c>
      <c r="F477" s="456">
        <f>-SUM(F478:F479)</f>
        <v>-994425796.13</v>
      </c>
      <c r="G477" s="470">
        <f>SUM(G478:G479)</f>
        <v>0</v>
      </c>
      <c r="H477" s="133"/>
    </row>
    <row r="478" spans="2:8" ht="15.5" x14ac:dyDescent="0.35">
      <c r="B478" s="408" t="s">
        <v>1233</v>
      </c>
      <c r="C478" s="405" t="s">
        <v>1234</v>
      </c>
      <c r="D478" s="464">
        <f>D356</f>
        <v>0</v>
      </c>
      <c r="E478" s="464">
        <f>E356</f>
        <v>25000000</v>
      </c>
      <c r="F478" s="464">
        <f>F356</f>
        <v>-25000000</v>
      </c>
      <c r="G478" s="482">
        <f>G356</f>
        <v>0</v>
      </c>
      <c r="H478" s="133"/>
    </row>
    <row r="479" spans="2:8" ht="15.5" x14ac:dyDescent="0.35">
      <c r="B479" s="409" t="s">
        <v>1235</v>
      </c>
      <c r="C479" s="407" t="s">
        <v>1236</v>
      </c>
      <c r="D479" s="464">
        <f>D435</f>
        <v>1081349802.98</v>
      </c>
      <c r="E479" s="464">
        <f>E435</f>
        <v>61924006.850000001</v>
      </c>
      <c r="F479" s="464">
        <f>F435</f>
        <v>1019425796.13</v>
      </c>
      <c r="G479" s="482">
        <f>G435</f>
        <v>0</v>
      </c>
      <c r="H479" s="133"/>
    </row>
    <row r="480" spans="2:8" ht="15.5" x14ac:dyDescent="0.35">
      <c r="B480" s="384">
        <v>859</v>
      </c>
      <c r="C480" s="393" t="s">
        <v>745</v>
      </c>
      <c r="D480" s="463">
        <f t="shared" ref="D480:E480" si="120">D461+D471+D477</f>
        <v>-7024518958.1900005</v>
      </c>
      <c r="E480" s="463">
        <f t="shared" si="120"/>
        <v>-5350318765.2400007</v>
      </c>
      <c r="F480" s="463">
        <f>F461+F471+F477</f>
        <v>-1674200192.9499998</v>
      </c>
      <c r="G480" s="481">
        <f>G461+G471+G477</f>
        <v>0</v>
      </c>
      <c r="H480" s="133"/>
    </row>
    <row r="481" spans="2:8" ht="15.5" x14ac:dyDescent="0.35">
      <c r="B481" s="170">
        <v>86</v>
      </c>
      <c r="C481" s="168" t="s">
        <v>748</v>
      </c>
      <c r="D481" s="456">
        <f t="shared" ref="D481:E481" si="121">SUM(D482:D483)</f>
        <v>0</v>
      </c>
      <c r="E481" s="456">
        <f t="shared" si="121"/>
        <v>0</v>
      </c>
      <c r="F481" s="456">
        <f>SUM(F482:F483)</f>
        <v>0</v>
      </c>
      <c r="G481" s="475">
        <f>SUM(G482:G483)</f>
        <v>0</v>
      </c>
      <c r="H481" s="133"/>
    </row>
    <row r="482" spans="2:8" ht="15.5" x14ac:dyDescent="0.35">
      <c r="B482" s="408">
        <v>861</v>
      </c>
      <c r="C482" s="405" t="s">
        <v>567</v>
      </c>
      <c r="D482" s="464">
        <f>D370</f>
        <v>0</v>
      </c>
      <c r="E482" s="464">
        <f>E370</f>
        <v>0</v>
      </c>
      <c r="F482" s="464">
        <f>F370</f>
        <v>0</v>
      </c>
      <c r="G482" s="482">
        <f>G370</f>
        <v>0</v>
      </c>
      <c r="H482" s="133"/>
    </row>
    <row r="483" spans="2:8" ht="15.5" x14ac:dyDescent="0.35">
      <c r="B483" s="408">
        <v>862</v>
      </c>
      <c r="C483" s="405" t="s">
        <v>726</v>
      </c>
      <c r="D483" s="464">
        <f t="shared" ref="D483:E483" si="122">D450</f>
        <v>0</v>
      </c>
      <c r="E483" s="464">
        <f t="shared" si="122"/>
        <v>0</v>
      </c>
      <c r="F483" s="464">
        <f>F450</f>
        <v>0</v>
      </c>
      <c r="G483" s="482">
        <f>G450</f>
        <v>0</v>
      </c>
      <c r="H483" s="133"/>
    </row>
    <row r="484" spans="2:8" ht="15.5" x14ac:dyDescent="0.35">
      <c r="B484" s="170" t="s">
        <v>1237</v>
      </c>
      <c r="C484" s="168" t="s">
        <v>918</v>
      </c>
      <c r="D484" s="456">
        <f t="shared" ref="D484:E484" si="123">SUM(D485:D486)</f>
        <v>0</v>
      </c>
      <c r="E484" s="456">
        <f t="shared" si="123"/>
        <v>0</v>
      </c>
      <c r="F484" s="456">
        <f>SUM(F485:F486)</f>
        <v>0</v>
      </c>
      <c r="G484" s="470">
        <f>SUM(G485:G486)</f>
        <v>0</v>
      </c>
      <c r="H484" s="133"/>
    </row>
    <row r="485" spans="2:8" ht="15.5" x14ac:dyDescent="0.35">
      <c r="B485" s="409" t="s">
        <v>1238</v>
      </c>
      <c r="C485" s="407" t="s">
        <v>1239</v>
      </c>
      <c r="D485" s="464"/>
      <c r="E485" s="464"/>
      <c r="F485" s="464"/>
      <c r="G485" s="482"/>
      <c r="H485" s="133"/>
    </row>
    <row r="486" spans="2:8" ht="15.5" x14ac:dyDescent="0.35">
      <c r="B486" s="408">
        <v>872</v>
      </c>
      <c r="C486" s="407" t="s">
        <v>1240</v>
      </c>
      <c r="D486" s="464"/>
      <c r="E486" s="464"/>
      <c r="F486" s="464"/>
      <c r="G486" s="476"/>
      <c r="H486" s="133"/>
    </row>
    <row r="487" spans="2:8" ht="16" thickBot="1" x14ac:dyDescent="0.4">
      <c r="B487" s="524" t="s">
        <v>1241</v>
      </c>
      <c r="C487" s="525" t="s">
        <v>1079</v>
      </c>
      <c r="D487" s="526">
        <f t="shared" ref="D487:E487" si="124">D480+D484</f>
        <v>-7024518958.1900005</v>
      </c>
      <c r="E487" s="526">
        <f t="shared" si="124"/>
        <v>-5350318765.2400007</v>
      </c>
      <c r="F487" s="526">
        <f>F480+F484</f>
        <v>-1674200192.9499998</v>
      </c>
      <c r="G487" s="529">
        <f>G480+G484</f>
        <v>0</v>
      </c>
      <c r="H487" s="133"/>
    </row>
    <row r="488" spans="2:8" ht="15" thickTop="1" x14ac:dyDescent="0.35">
      <c r="B488" s="188"/>
    </row>
  </sheetData>
  <mergeCells count="4">
    <mergeCell ref="A1:E1"/>
    <mergeCell ref="B4:G4"/>
    <mergeCell ref="B2:G2"/>
    <mergeCell ref="B3:G3"/>
  </mergeCells>
  <pageMargins left="0.7" right="0.7" top="0.75" bottom="0.75" header="0.3" footer="0.3"/>
  <pageSetup scale="46" fitToHeight="0" orientation="portrait" r:id="rId1"/>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dimension ref="A1:X106"/>
  <sheetViews>
    <sheetView showGridLines="0" zoomScaleNormal="100" workbookViewId="0">
      <pane ySplit="1" topLeftCell="A2" activePane="bottomLeft" state="frozen"/>
      <selection pane="bottomLeft"/>
    </sheetView>
  </sheetViews>
  <sheetFormatPr defaultColWidth="0" defaultRowHeight="0" customHeight="1" zeroHeight="1" x14ac:dyDescent="0.35"/>
  <cols>
    <col min="1" max="2" width="1.6328125" customWidth="1"/>
    <col min="3" max="3" width="14.90625" customWidth="1"/>
    <col min="4" max="4" width="65.54296875" customWidth="1"/>
    <col min="5" max="5" width="28.36328125" bestFit="1" customWidth="1"/>
    <col min="6" max="6" width="18.7265625" customWidth="1"/>
    <col min="7" max="7" width="29.453125" customWidth="1"/>
    <col min="8" max="8" width="16.54296875" customWidth="1"/>
    <col min="9" max="9" width="7.81640625" customWidth="1"/>
    <col min="10" max="10" width="14.90625" customWidth="1"/>
    <col min="11" max="11" width="76" customWidth="1"/>
    <col min="12" max="12" width="28.36328125" bestFit="1" customWidth="1"/>
    <col min="13" max="13" width="22.08984375" bestFit="1" customWidth="1"/>
    <col min="14" max="14" width="30.90625" customWidth="1"/>
    <col min="15" max="15" width="22.08984375" customWidth="1"/>
    <col min="16" max="16" width="25.1796875" customWidth="1"/>
    <col min="17" max="23" width="20.7265625" customWidth="1"/>
    <col min="24" max="24" width="0" hidden="1" customWidth="1"/>
    <col min="25" max="16384" width="9.1796875" hidden="1"/>
  </cols>
  <sheetData>
    <row r="1" spans="2:17" s="10" customFormat="1" ht="26.5" customHeight="1" x14ac:dyDescent="0.35"/>
    <row r="2" spans="2:17" ht="26.5" customHeight="1" x14ac:dyDescent="0.35">
      <c r="B2" s="53" t="s">
        <v>1242</v>
      </c>
    </row>
    <row r="3" spans="2:17" ht="18" customHeight="1" thickBot="1" x14ac:dyDescent="0.5">
      <c r="E3" s="661" t="s">
        <v>1243</v>
      </c>
      <c r="F3" s="661"/>
      <c r="G3" s="662" t="s">
        <v>1244</v>
      </c>
      <c r="H3" s="662"/>
      <c r="L3" s="661" t="s">
        <v>1243</v>
      </c>
      <c r="M3" s="661"/>
      <c r="N3" s="662" t="s">
        <v>1244</v>
      </c>
      <c r="O3" s="662"/>
      <c r="P3" s="662"/>
      <c r="Q3" s="662"/>
    </row>
    <row r="4" spans="2:17" ht="30" customHeight="1" thickTop="1" thickBot="1" x14ac:dyDescent="0.4">
      <c r="C4" s="75" t="s">
        <v>26</v>
      </c>
      <c r="D4" s="92" t="s">
        <v>1245</v>
      </c>
      <c r="E4" s="663">
        <f>IF(ISERROR($E$5+$E$16+$E$26+$E$30+$E$38+$E$45+$E$55),"",$E$5+$E$16+$E$26+$E$30+$E$38+$E$45+$E$55)</f>
        <v>3444950457.0999999</v>
      </c>
      <c r="F4" s="664"/>
      <c r="G4" s="663">
        <f>IF(ISERROR($G$5+$G$16+$G$26+$G$30+$G$38+$G$45+$G$55),"",$G$5+$G$16+$G$26+$G$30+$G$38+$G$45+$G$55)</f>
        <v>0</v>
      </c>
      <c r="H4" s="664"/>
      <c r="J4" s="75" t="str">
        <f>C4</f>
        <v>1.1</v>
      </c>
      <c r="K4" s="153" t="s">
        <v>1246</v>
      </c>
      <c r="L4" s="650"/>
      <c r="M4" s="670"/>
      <c r="N4" s="659"/>
      <c r="O4" s="660"/>
      <c r="P4" s="674"/>
      <c r="Q4" s="628"/>
    </row>
    <row r="5" spans="2:17" ht="30" customHeight="1" thickTop="1" thickBot="1" x14ac:dyDescent="0.4">
      <c r="C5" s="76" t="s">
        <v>28</v>
      </c>
      <c r="D5" s="94" t="s">
        <v>29</v>
      </c>
      <c r="E5" s="667">
        <f>IF(ISERROR(SUM(E6:E15)),"",SUM(E6:E15))</f>
        <v>3423873567.8199997</v>
      </c>
      <c r="F5" s="668"/>
      <c r="G5" s="667">
        <f>IF(ISERROR(SUM(G6:G15)),"",SUM(G6:G15))</f>
        <v>0</v>
      </c>
      <c r="H5" s="668"/>
      <c r="J5" s="76" t="str">
        <f>C5</f>
        <v>1.1.1</v>
      </c>
      <c r="K5" s="82" t="str">
        <f>D5</f>
        <v>Imobilizações corpóreas</v>
      </c>
      <c r="L5" s="100">
        <f>IF(ISERROR($E$5),"",$E$5)</f>
        <v>3423873567.8199997</v>
      </c>
      <c r="M5" s="85">
        <f>IF(ISERROR(L5/$P$5),"",L5/$P$5)</f>
        <v>0.99388180191777187</v>
      </c>
      <c r="N5" s="100">
        <f>IF(ISERROR($G$5),"",$G$5)</f>
        <v>0</v>
      </c>
      <c r="O5" s="85" t="str">
        <f>IF(ISERROR(N5/$Q$5),"",N5/$Q$5)</f>
        <v/>
      </c>
      <c r="P5" s="418">
        <f>IF(ISERROR(SUM($L$5:$L$13)),"",SUM($L$5:$L$13))</f>
        <v>3444950457.0999999</v>
      </c>
      <c r="Q5" s="418">
        <f>IF(ISERROR(SUM($N$5:$N$13)),"",SUM($N$5:$N$13))</f>
        <v>0</v>
      </c>
    </row>
    <row r="6" spans="2:17" ht="30" customHeight="1" thickTop="1" thickBot="1" x14ac:dyDescent="0.4">
      <c r="C6" s="77" t="s">
        <v>30</v>
      </c>
      <c r="D6" s="292" t="s">
        <v>1247</v>
      </c>
      <c r="E6" s="288">
        <f>Balancete!F8</f>
        <v>0</v>
      </c>
      <c r="F6" s="85">
        <f>IF(ISERROR(E6/$E$5),"",E6/$E$5)</f>
        <v>0</v>
      </c>
      <c r="G6" s="288">
        <f>Balancete!G8</f>
        <v>0</v>
      </c>
      <c r="H6" s="85" t="str">
        <f t="shared" ref="H6:H15" si="0">IF(ISERROR(G6/$G$5),"",G6/$G$5)</f>
        <v/>
      </c>
      <c r="J6" s="76" t="str">
        <f>C16</f>
        <v>1.1.2</v>
      </c>
      <c r="K6" s="82" t="str">
        <f>D16</f>
        <v>Imobilizações incorpóreas</v>
      </c>
      <c r="L6" s="100">
        <f>IF(ISERROR($E$16),"",$E$16)</f>
        <v>21076889.280000031</v>
      </c>
      <c r="M6" s="85">
        <f t="shared" ref="M6:M11" si="1">IF(ISERROR(L6/$P$5),"",L6/$P$5)</f>
        <v>6.1181980822280985E-3</v>
      </c>
      <c r="N6" s="100">
        <f>IF(ISERROR($G$16),"",$G$16)</f>
        <v>0</v>
      </c>
      <c r="O6" s="85" t="str">
        <f t="shared" ref="O6:O11" si="2">IF(ISERROR(N6/$Q$5),"",N6/$Q$5)</f>
        <v/>
      </c>
      <c r="P6" s="310"/>
      <c r="Q6" s="309"/>
    </row>
    <row r="7" spans="2:17" ht="30" customHeight="1" thickTop="1" thickBot="1" x14ac:dyDescent="0.4">
      <c r="C7" s="77" t="s">
        <v>34</v>
      </c>
      <c r="D7" s="292" t="s">
        <v>35</v>
      </c>
      <c r="E7" s="288">
        <f>Balancete!F13</f>
        <v>4397482892.2299995</v>
      </c>
      <c r="F7" s="85">
        <f t="shared" ref="F7:F15" si="3">IF(ISERROR(E7/$E$5),"",E7/$E$5)</f>
        <v>1.2843590176812232</v>
      </c>
      <c r="G7" s="288">
        <f>Balancete!G13</f>
        <v>0</v>
      </c>
      <c r="H7" s="85" t="str">
        <f t="shared" si="0"/>
        <v/>
      </c>
      <c r="I7" s="86"/>
      <c r="J7" s="76" t="str">
        <f>C26</f>
        <v>1.1.3</v>
      </c>
      <c r="K7" s="82" t="str">
        <f>D26</f>
        <v>Investimentos em Subsidiárias e Associadas</v>
      </c>
      <c r="L7" s="100">
        <f>IF(ISERROR($E$26),"",$E$26)</f>
        <v>0</v>
      </c>
      <c r="M7" s="85">
        <f t="shared" si="1"/>
        <v>0</v>
      </c>
      <c r="N7" s="100">
        <f>IF(ISERROR($G$26),"",$G$26)</f>
        <v>0</v>
      </c>
      <c r="O7" s="85" t="str">
        <f t="shared" si="2"/>
        <v/>
      </c>
      <c r="P7" s="310"/>
      <c r="Q7" s="309"/>
    </row>
    <row r="8" spans="2:17" ht="30" customHeight="1" thickTop="1" thickBot="1" x14ac:dyDescent="0.4">
      <c r="C8" s="77" t="s">
        <v>37</v>
      </c>
      <c r="D8" s="436" t="s">
        <v>1248</v>
      </c>
      <c r="E8" s="289">
        <f>Balancete!F17</f>
        <v>2987457995.25</v>
      </c>
      <c r="F8" s="268">
        <f t="shared" si="3"/>
        <v>0.87253747431805195</v>
      </c>
      <c r="G8" s="289">
        <f>Balancete!G17</f>
        <v>0</v>
      </c>
      <c r="H8" s="85" t="str">
        <f t="shared" si="0"/>
        <v/>
      </c>
      <c r="J8" s="76" t="str">
        <f>C30</f>
        <v>1.1.4</v>
      </c>
      <c r="K8" s="82" t="str">
        <f>D30</f>
        <v>Outros Activos Financeiros</v>
      </c>
      <c r="L8" s="100">
        <f>IF(ISERROR($E$30),"",$E$30)</f>
        <v>0</v>
      </c>
      <c r="M8" s="85">
        <f t="shared" si="1"/>
        <v>0</v>
      </c>
      <c r="N8" s="100">
        <f>IF(ISERROR($G$30),"",$G$30)</f>
        <v>0</v>
      </c>
      <c r="O8" s="85" t="str">
        <f t="shared" si="2"/>
        <v/>
      </c>
      <c r="P8" s="310"/>
      <c r="Q8" s="309"/>
    </row>
    <row r="9" spans="2:17" ht="30" customHeight="1" thickTop="1" thickBot="1" x14ac:dyDescent="0.4">
      <c r="C9" s="77" t="s">
        <v>40</v>
      </c>
      <c r="D9" s="436" t="s">
        <v>1249</v>
      </c>
      <c r="E9" s="289">
        <f>Balancete!F21</f>
        <v>782042288.10000002</v>
      </c>
      <c r="F9" s="85">
        <f t="shared" si="3"/>
        <v>0.22840863501800709</v>
      </c>
      <c r="G9" s="289">
        <f>Balancete!G21</f>
        <v>0</v>
      </c>
      <c r="H9" s="85" t="str">
        <f t="shared" si="0"/>
        <v/>
      </c>
      <c r="J9" s="76" t="str">
        <f>C38</f>
        <v>1.1.5</v>
      </c>
      <c r="K9" s="82" t="str">
        <f>D38</f>
        <v>Provisões para Investimentos Financeiros</v>
      </c>
      <c r="L9" s="100">
        <f>IF(ISERROR($E$38),"",$E$38)</f>
        <v>0</v>
      </c>
      <c r="M9" s="85">
        <f t="shared" si="1"/>
        <v>0</v>
      </c>
      <c r="N9" s="100">
        <f>IF(ISERROR($G$38),"",$G$38)</f>
        <v>0</v>
      </c>
      <c r="O9" s="85" t="str">
        <f t="shared" si="2"/>
        <v/>
      </c>
      <c r="P9" s="310"/>
      <c r="Q9" s="309"/>
    </row>
    <row r="10" spans="2:17" ht="30" customHeight="1" thickTop="1" thickBot="1" x14ac:dyDescent="0.4">
      <c r="C10" s="285" t="s">
        <v>43</v>
      </c>
      <c r="D10" s="437" t="s">
        <v>44</v>
      </c>
      <c r="E10" s="290">
        <f>Balancete!F24</f>
        <v>632923142.75999999</v>
      </c>
      <c r="F10" s="286">
        <f t="shared" si="3"/>
        <v>0.18485587455934765</v>
      </c>
      <c r="G10" s="290">
        <f>Balancete!G24</f>
        <v>0</v>
      </c>
      <c r="H10" s="85" t="str">
        <f t="shared" si="0"/>
        <v/>
      </c>
      <c r="J10" s="76" t="str">
        <f>C45</f>
        <v>1.1.6</v>
      </c>
      <c r="K10" s="82" t="str">
        <f>D45</f>
        <v>Outros Activos não Correntes</v>
      </c>
      <c r="L10" s="100">
        <f>IF(ISERROR($E$45),"",$E$45)</f>
        <v>0</v>
      </c>
      <c r="M10" s="85">
        <f t="shared" si="1"/>
        <v>0</v>
      </c>
      <c r="N10" s="100">
        <f>IF(ISERROR($G$45),"",$G$45)</f>
        <v>0</v>
      </c>
      <c r="O10" s="85" t="str">
        <f t="shared" si="2"/>
        <v/>
      </c>
      <c r="P10" s="310"/>
      <c r="Q10" s="309"/>
    </row>
    <row r="11" spans="2:17" ht="30" customHeight="1" thickTop="1" thickBot="1" x14ac:dyDescent="0.4">
      <c r="C11" s="77" t="s">
        <v>46</v>
      </c>
      <c r="D11" s="436" t="s">
        <v>50</v>
      </c>
      <c r="E11" s="288">
        <f>Balancete!F32</f>
        <v>439725101.02999997</v>
      </c>
      <c r="F11" s="85">
        <f t="shared" si="3"/>
        <v>0.12842912926541722</v>
      </c>
      <c r="G11" s="288">
        <f>Balancete!G32</f>
        <v>0</v>
      </c>
      <c r="H11" s="85" t="str">
        <f t="shared" si="0"/>
        <v/>
      </c>
      <c r="J11" s="76"/>
      <c r="K11" s="82"/>
      <c r="L11" s="100">
        <f>IF(ISERROR(E55),"",E55)</f>
        <v>0</v>
      </c>
      <c r="M11" s="85">
        <f t="shared" si="1"/>
        <v>0</v>
      </c>
      <c r="N11" s="100">
        <f>IF(ISERROR($G$55),"",$G$55)</f>
        <v>0</v>
      </c>
      <c r="O11" s="85" t="str">
        <f t="shared" si="2"/>
        <v/>
      </c>
      <c r="P11" s="310"/>
      <c r="Q11" s="309"/>
    </row>
    <row r="12" spans="2:17" ht="30" customHeight="1" thickTop="1" thickBot="1" x14ac:dyDescent="0.4">
      <c r="C12" s="77" t="s">
        <v>49</v>
      </c>
      <c r="D12" s="437" t="s">
        <v>47</v>
      </c>
      <c r="E12" s="288">
        <f>Balancete!F29</f>
        <v>0</v>
      </c>
      <c r="F12" s="85">
        <f t="shared" si="3"/>
        <v>0</v>
      </c>
      <c r="G12" s="288">
        <f>Balancete!G29</f>
        <v>0</v>
      </c>
      <c r="H12" s="85" t="str">
        <f t="shared" si="0"/>
        <v/>
      </c>
      <c r="J12" s="419"/>
      <c r="K12" s="420"/>
      <c r="L12" s="421"/>
      <c r="M12" s="286"/>
      <c r="N12" s="421"/>
      <c r="O12" s="422"/>
      <c r="P12" s="239"/>
      <c r="Q12" s="311"/>
    </row>
    <row r="13" spans="2:17" ht="30" customHeight="1" thickTop="1" thickBot="1" x14ac:dyDescent="0.4">
      <c r="C13" s="77" t="s">
        <v>52</v>
      </c>
      <c r="D13" s="435" t="s">
        <v>53</v>
      </c>
      <c r="E13" s="291">
        <f>Balancete!F61</f>
        <v>0</v>
      </c>
      <c r="F13" s="268">
        <f t="shared" si="3"/>
        <v>0</v>
      </c>
      <c r="G13" s="291">
        <f>Balancete!G61</f>
        <v>0</v>
      </c>
      <c r="H13" s="85" t="str">
        <f t="shared" si="0"/>
        <v/>
      </c>
      <c r="J13" s="423"/>
      <c r="K13" s="424"/>
      <c r="L13" s="425"/>
      <c r="M13" s="426"/>
      <c r="N13" s="425"/>
      <c r="O13" s="426"/>
      <c r="P13" s="67"/>
      <c r="Q13" s="309"/>
    </row>
    <row r="14" spans="2:17" ht="30" customHeight="1" thickTop="1" thickBot="1" x14ac:dyDescent="0.4">
      <c r="C14" s="77" t="s">
        <v>55</v>
      </c>
      <c r="D14" s="293" t="s">
        <v>56</v>
      </c>
      <c r="E14" s="290">
        <f>Balancete!F65</f>
        <v>0</v>
      </c>
      <c r="F14" s="287"/>
      <c r="G14" s="290">
        <f>Balancete!F65</f>
        <v>0</v>
      </c>
      <c r="H14" s="85" t="str">
        <f t="shared" si="0"/>
        <v/>
      </c>
      <c r="J14" s="671" t="s">
        <v>1250</v>
      </c>
      <c r="K14" s="672"/>
      <c r="L14" s="672"/>
      <c r="M14" s="673"/>
      <c r="N14" s="233"/>
      <c r="O14" s="233"/>
      <c r="P14" s="67"/>
      <c r="Q14" s="309"/>
    </row>
    <row r="15" spans="2:17" ht="30" customHeight="1" thickTop="1" thickBot="1" x14ac:dyDescent="0.4">
      <c r="C15" s="77" t="s">
        <v>58</v>
      </c>
      <c r="D15" s="436" t="s">
        <v>1251</v>
      </c>
      <c r="E15" s="288">
        <f>Balancete!F69</f>
        <v>-5815757851.5500011</v>
      </c>
      <c r="F15" s="85">
        <f t="shared" si="3"/>
        <v>-1.6985901308420475</v>
      </c>
      <c r="G15" s="288">
        <f>Balancete!G69</f>
        <v>0</v>
      </c>
      <c r="H15" s="85" t="str">
        <f t="shared" si="0"/>
        <v/>
      </c>
      <c r="J15" s="76" t="str">
        <f>C5</f>
        <v>1.1.1</v>
      </c>
      <c r="K15" s="82" t="str">
        <f>D5</f>
        <v>Imobilizações corpóreas</v>
      </c>
      <c r="L15" s="100">
        <f>IF(ISERROR($E$5),"",$E$5)</f>
        <v>3423873567.8199997</v>
      </c>
      <c r="M15" s="85">
        <f t="shared" ref="M15:M20" si="4">IF(ISERROR(L15/$L$21),"",L15/$L$21)</f>
        <v>0.99388180191777187</v>
      </c>
      <c r="N15" s="100">
        <f>IF(ISERROR($G$5),"",$G$5)</f>
        <v>0</v>
      </c>
      <c r="O15" s="85" t="str">
        <f t="shared" ref="O15:O20" si="5">IF(ISERROR(N15/$N$21),"",N15/$N$21)</f>
        <v/>
      </c>
      <c r="P15" s="67"/>
      <c r="Q15" s="309"/>
    </row>
    <row r="16" spans="2:17" ht="30" customHeight="1" thickTop="1" thickBot="1" x14ac:dyDescent="0.4">
      <c r="C16" s="76" t="s">
        <v>62</v>
      </c>
      <c r="D16" s="113" t="s">
        <v>63</v>
      </c>
      <c r="E16" s="654">
        <f>IF(ISERROR(SUM(E17:E25)),"",SUM(E17:E25))</f>
        <v>21076889.280000031</v>
      </c>
      <c r="F16" s="655"/>
      <c r="G16" s="654">
        <f>IF(ISERROR(SUM(G17:G25)),"",SUM(G17:G25))</f>
        <v>0</v>
      </c>
      <c r="H16" s="655"/>
      <c r="J16" s="76" t="str">
        <f>C16</f>
        <v>1.1.2</v>
      </c>
      <c r="K16" s="82" t="str">
        <f>D16</f>
        <v>Imobilizações incorpóreas</v>
      </c>
      <c r="L16" s="100">
        <f>IF(ISERROR($E$16),"",$E$16)</f>
        <v>21076889.280000031</v>
      </c>
      <c r="M16" s="85">
        <f t="shared" si="4"/>
        <v>6.1181980822280985E-3</v>
      </c>
      <c r="N16" s="100">
        <f>IF(ISERROR($G$16),"",$G$16)</f>
        <v>0</v>
      </c>
      <c r="O16" s="85" t="str">
        <f t="shared" si="5"/>
        <v/>
      </c>
      <c r="P16" s="67"/>
      <c r="Q16" s="309"/>
    </row>
    <row r="17" spans="3:17" ht="30" customHeight="1" thickTop="1" thickBot="1" x14ac:dyDescent="0.4">
      <c r="C17" s="77" t="s">
        <v>64</v>
      </c>
      <c r="D17" s="436" t="s">
        <v>65</v>
      </c>
      <c r="E17" s="288">
        <f>Balancete!F36</f>
        <v>0</v>
      </c>
      <c r="F17" s="87">
        <f>IF(ISERROR(E17/$E$16),"",E17/$E$16)</f>
        <v>0</v>
      </c>
      <c r="G17" s="288">
        <f>Balancete!G36</f>
        <v>0</v>
      </c>
      <c r="H17" s="272"/>
      <c r="J17" s="76" t="str">
        <f>C26</f>
        <v>1.1.3</v>
      </c>
      <c r="K17" s="82" t="str">
        <f>D26</f>
        <v>Investimentos em Subsidiárias e Associadas</v>
      </c>
      <c r="L17" s="100">
        <f>IF(ISERROR($E$26),"",$E$26)</f>
        <v>0</v>
      </c>
      <c r="M17" s="85">
        <f t="shared" si="4"/>
        <v>0</v>
      </c>
      <c r="N17" s="100">
        <f>IF(ISERROR($G$26),"",$G$26)</f>
        <v>0</v>
      </c>
      <c r="O17" s="85" t="str">
        <f t="shared" si="5"/>
        <v/>
      </c>
      <c r="P17" s="67"/>
      <c r="Q17" s="309"/>
    </row>
    <row r="18" spans="3:17" ht="30" customHeight="1" thickTop="1" thickBot="1" x14ac:dyDescent="0.4">
      <c r="C18" s="77" t="s">
        <v>67</v>
      </c>
      <c r="D18" s="437" t="s">
        <v>1252</v>
      </c>
      <c r="E18" s="290">
        <f>Balancete!F37</f>
        <v>133701288.98999999</v>
      </c>
      <c r="F18" s="297">
        <f t="shared" ref="F18:F25" si="6">IF(ISERROR(E18/$E$16),"",E18/$E$16)</f>
        <v>6.3435019852227361</v>
      </c>
      <c r="G18" s="288">
        <f>Balancete!G37</f>
        <v>0</v>
      </c>
      <c r="H18" s="274"/>
      <c r="J18" s="76" t="str">
        <f>C30</f>
        <v>1.1.4</v>
      </c>
      <c r="K18" s="82" t="str">
        <f>D30</f>
        <v>Outros Activos Financeiros</v>
      </c>
      <c r="L18" s="100">
        <f>IF(ISERROR($E$30),"",$E$30)</f>
        <v>0</v>
      </c>
      <c r="M18" s="85">
        <f t="shared" si="4"/>
        <v>0</v>
      </c>
      <c r="N18" s="100">
        <f>IF(ISERROR($G$30),"",$G$30)</f>
        <v>0</v>
      </c>
      <c r="O18" s="85" t="str">
        <f t="shared" si="5"/>
        <v/>
      </c>
      <c r="P18" s="67"/>
      <c r="Q18" s="309"/>
    </row>
    <row r="19" spans="3:17" ht="30" customHeight="1" thickTop="1" thickBot="1" x14ac:dyDescent="0.4">
      <c r="C19" s="77" t="s">
        <v>70</v>
      </c>
      <c r="D19" s="437" t="s">
        <v>71</v>
      </c>
      <c r="E19" s="100">
        <f>Balancete!F38</f>
        <v>4887501</v>
      </c>
      <c r="F19" s="87">
        <f t="shared" si="6"/>
        <v>0.23188910541166882</v>
      </c>
      <c r="G19" s="288">
        <f>Balancete!G38</f>
        <v>0</v>
      </c>
      <c r="H19" s="274"/>
      <c r="J19" s="76" t="str">
        <f>C38</f>
        <v>1.1.5</v>
      </c>
      <c r="K19" s="82" t="str">
        <f>D38</f>
        <v>Provisões para Investimentos Financeiros</v>
      </c>
      <c r="L19" s="100">
        <f>IF(ISERROR($E$38),"",$E$38)</f>
        <v>0</v>
      </c>
      <c r="M19" s="85">
        <f t="shared" si="4"/>
        <v>0</v>
      </c>
      <c r="N19" s="100">
        <f>IF(ISERROR($G$38),"",$G$38)</f>
        <v>0</v>
      </c>
      <c r="O19" s="85" t="str">
        <f t="shared" si="5"/>
        <v/>
      </c>
      <c r="P19" s="67"/>
      <c r="Q19" s="309"/>
    </row>
    <row r="20" spans="3:17" ht="30" customHeight="1" thickTop="1" thickBot="1" x14ac:dyDescent="0.4">
      <c r="C20" s="77" t="s">
        <v>73</v>
      </c>
      <c r="D20" s="437" t="s">
        <v>74</v>
      </c>
      <c r="E20" s="100">
        <f>Balancete!F41</f>
        <v>0</v>
      </c>
      <c r="F20" s="87">
        <f t="shared" si="6"/>
        <v>0</v>
      </c>
      <c r="G20" s="288">
        <f>Balancete!G41</f>
        <v>0</v>
      </c>
      <c r="H20" s="274"/>
      <c r="J20" s="76" t="str">
        <f>C45</f>
        <v>1.1.6</v>
      </c>
      <c r="K20" s="82" t="str">
        <f>D45</f>
        <v>Outros Activos não Correntes</v>
      </c>
      <c r="L20" s="100">
        <f>IF(ISERROR($E$45),"",$E$45)</f>
        <v>0</v>
      </c>
      <c r="M20" s="85">
        <f t="shared" si="4"/>
        <v>0</v>
      </c>
      <c r="N20" s="100">
        <f>IF(ISERROR($G$45),"",$G$45)</f>
        <v>0</v>
      </c>
      <c r="O20" s="85" t="str">
        <f t="shared" si="5"/>
        <v/>
      </c>
      <c r="Q20" s="312"/>
    </row>
    <row r="21" spans="3:17" ht="30" customHeight="1" thickTop="1" thickBot="1" x14ac:dyDescent="0.4">
      <c r="C21" s="77" t="s">
        <v>76</v>
      </c>
      <c r="D21" s="437" t="s">
        <v>77</v>
      </c>
      <c r="E21" s="100">
        <f>Balancete!F42</f>
        <v>143288316.81999999</v>
      </c>
      <c r="F21" s="87">
        <f t="shared" si="6"/>
        <v>6.7983616992269829</v>
      </c>
      <c r="G21" s="100">
        <f>Balancete!G42</f>
        <v>0</v>
      </c>
      <c r="H21" s="274"/>
      <c r="J21" s="669" t="s">
        <v>1253</v>
      </c>
      <c r="K21" s="669"/>
      <c r="L21" s="665">
        <f>IF(ISERROR(SUM($L$15:$L$20)),"",SUM($L$15:$L$20))</f>
        <v>3444950457.0999999</v>
      </c>
      <c r="M21" s="666"/>
      <c r="N21" s="665">
        <f>IF(ISERROR(SUM($N$15:$N$20)),"",SUM($N$15:$N$20))</f>
        <v>0</v>
      </c>
      <c r="O21" s="666"/>
    </row>
    <row r="22" spans="3:17" ht="30" customHeight="1" thickTop="1" thickBot="1" x14ac:dyDescent="0.4">
      <c r="C22" s="77" t="s">
        <v>79</v>
      </c>
      <c r="D22" s="292" t="s">
        <v>1254</v>
      </c>
      <c r="E22" s="100">
        <f>Balancete!F66</f>
        <v>0</v>
      </c>
      <c r="F22" s="87">
        <f t="shared" si="6"/>
        <v>0</v>
      </c>
      <c r="G22" s="100">
        <f>Balancete!G66</f>
        <v>0</v>
      </c>
      <c r="H22" s="274"/>
      <c r="P22" s="674"/>
      <c r="Q22" s="675"/>
    </row>
    <row r="23" spans="3:17" ht="30" customHeight="1" thickTop="1" thickBot="1" x14ac:dyDescent="0.4">
      <c r="C23" s="77" t="s">
        <v>82</v>
      </c>
      <c r="D23" s="292" t="s">
        <v>1251</v>
      </c>
      <c r="E23" s="289">
        <f>Balancete!F77</f>
        <v>-260800217.52999997</v>
      </c>
      <c r="F23" s="87">
        <f t="shared" si="6"/>
        <v>-12.373752789861388</v>
      </c>
      <c r="G23" s="289">
        <f>Balancete!G77</f>
        <v>0</v>
      </c>
      <c r="H23" s="274"/>
      <c r="J23" s="649" t="s">
        <v>1255</v>
      </c>
      <c r="K23" s="650"/>
      <c r="L23" s="650"/>
      <c r="M23" s="650"/>
      <c r="N23" s="308"/>
      <c r="O23" s="308"/>
      <c r="P23" s="312"/>
      <c r="Q23" s="312"/>
    </row>
    <row r="24" spans="3:17" ht="30" customHeight="1" thickTop="1" thickBot="1" x14ac:dyDescent="0.4">
      <c r="C24" s="77" t="s">
        <v>1256</v>
      </c>
      <c r="D24" s="292"/>
      <c r="E24" s="289"/>
      <c r="F24" s="87">
        <f t="shared" si="6"/>
        <v>0</v>
      </c>
      <c r="G24" s="271"/>
      <c r="H24" s="270"/>
      <c r="J24" s="651" t="s">
        <v>1253</v>
      </c>
      <c r="K24" s="651"/>
      <c r="L24" s="657">
        <f>IF(ISERROR(SUM($L$5:$L$13)),"",SUM($L$5:$L$13))</f>
        <v>3444950457.0999999</v>
      </c>
      <c r="M24" s="658"/>
      <c r="N24" s="657">
        <f>IF(ISERROR(SUM($N$5:$N$13)),"",SUM($N$5:$N$13))</f>
        <v>0</v>
      </c>
      <c r="O24" s="658"/>
      <c r="P24" s="309"/>
      <c r="Q24" s="309"/>
    </row>
    <row r="25" spans="3:17" ht="30" customHeight="1" thickTop="1" thickBot="1" x14ac:dyDescent="0.4">
      <c r="C25" s="77" t="s">
        <v>1257</v>
      </c>
      <c r="D25" s="296"/>
      <c r="E25" s="294"/>
      <c r="F25" s="87">
        <f t="shared" si="6"/>
        <v>0</v>
      </c>
      <c r="G25" s="273"/>
      <c r="H25" s="274"/>
      <c r="P25" s="309"/>
      <c r="Q25" s="309"/>
    </row>
    <row r="26" spans="3:17" ht="30" customHeight="1" thickTop="1" thickBot="1" x14ac:dyDescent="0.4">
      <c r="C26" s="76" t="s">
        <v>85</v>
      </c>
      <c r="D26" s="94" t="s">
        <v>1258</v>
      </c>
      <c r="E26" s="654">
        <f>IF(ISERROR(SUM(E27:E29)),"",SUM(E27:E29))</f>
        <v>0</v>
      </c>
      <c r="F26" s="655"/>
      <c r="G26" s="264"/>
      <c r="H26" s="275"/>
      <c r="P26" s="312"/>
      <c r="Q26" s="313"/>
    </row>
    <row r="27" spans="3:17" ht="30" customHeight="1" thickTop="1" thickBot="1" x14ac:dyDescent="0.4">
      <c r="C27" s="77" t="s">
        <v>87</v>
      </c>
      <c r="D27" s="437" t="s">
        <v>822</v>
      </c>
      <c r="E27" s="290">
        <f>Balancete!F44</f>
        <v>0</v>
      </c>
      <c r="F27" s="87" t="str">
        <f>IF(ISERROR(E27/$E$26),"",E27/$E$26)</f>
        <v/>
      </c>
      <c r="G27" s="290">
        <f>Balancete!G44</f>
        <v>0</v>
      </c>
      <c r="H27" s="274"/>
      <c r="P27" s="309"/>
      <c r="Q27" s="314"/>
    </row>
    <row r="28" spans="3:17" ht="30" customHeight="1" thickTop="1" thickBot="1" x14ac:dyDescent="0.4">
      <c r="C28" s="77" t="s">
        <v>102</v>
      </c>
      <c r="D28" s="437" t="s">
        <v>827</v>
      </c>
      <c r="E28" s="289">
        <f>Balancete!F49</f>
        <v>0</v>
      </c>
      <c r="F28" s="87" t="str">
        <f t="shared" ref="F28:F29" si="7">IF(ISERROR(E28/$E$26),"",E28/$E$26)</f>
        <v/>
      </c>
      <c r="G28" s="289">
        <f>Balancete!G49</f>
        <v>0</v>
      </c>
      <c r="H28" s="274"/>
      <c r="P28" s="309"/>
      <c r="Q28" s="309"/>
    </row>
    <row r="29" spans="3:17" ht="30" customHeight="1" thickTop="1" thickBot="1" x14ac:dyDescent="0.4">
      <c r="C29" s="77" t="s">
        <v>1259</v>
      </c>
      <c r="D29" s="437"/>
      <c r="E29" s="290"/>
      <c r="F29" s="87" t="str">
        <f t="shared" si="7"/>
        <v/>
      </c>
      <c r="G29" s="273"/>
      <c r="H29" s="274"/>
      <c r="P29" s="299"/>
      <c r="Q29" s="299"/>
    </row>
    <row r="30" spans="3:17" ht="30" customHeight="1" thickTop="1" thickBot="1" x14ac:dyDescent="0.4">
      <c r="C30" s="76" t="s">
        <v>113</v>
      </c>
      <c r="D30" s="113" t="s">
        <v>1260</v>
      </c>
      <c r="E30" s="654">
        <f>IF(ISERROR(SUM(E31:E37)),"",SUM(E31:E37))</f>
        <v>0</v>
      </c>
      <c r="F30" s="655"/>
      <c r="G30" s="276"/>
      <c r="H30" s="269"/>
      <c r="J30" s="427"/>
      <c r="K30" s="428"/>
      <c r="L30" s="429"/>
      <c r="M30" s="430"/>
      <c r="N30" s="430"/>
      <c r="O30" s="430"/>
      <c r="P30" s="67"/>
      <c r="Q30" s="309"/>
    </row>
    <row r="31" spans="3:17" ht="30" customHeight="1" thickTop="1" thickBot="1" x14ac:dyDescent="0.4">
      <c r="C31" s="77" t="s">
        <v>115</v>
      </c>
      <c r="D31" s="438" t="s">
        <v>116</v>
      </c>
      <c r="E31" s="301">
        <f>Balancete!F55</f>
        <v>0</v>
      </c>
      <c r="F31" s="87" t="str">
        <f>IF(ISERROR(E31/$E$30),"",E31/$E$30)</f>
        <v/>
      </c>
      <c r="G31" s="301">
        <f>Balancete!G55</f>
        <v>0</v>
      </c>
      <c r="H31" s="274"/>
      <c r="J31" s="427"/>
      <c r="K31" s="428"/>
      <c r="L31" s="429"/>
      <c r="M31" s="430"/>
      <c r="N31" s="430"/>
      <c r="O31" s="430"/>
      <c r="P31" s="67"/>
      <c r="Q31" s="309"/>
    </row>
    <row r="32" spans="3:17" ht="30" customHeight="1" thickTop="1" thickBot="1" x14ac:dyDescent="0.4">
      <c r="C32" s="77" t="s">
        <v>118</v>
      </c>
      <c r="D32" s="435" t="s">
        <v>119</v>
      </c>
      <c r="E32" s="300">
        <f>Balancete!F56</f>
        <v>0</v>
      </c>
      <c r="F32" s="87" t="str">
        <f t="shared" ref="F32:F37" si="8">IF(ISERROR(E32/$E$30),"",E32/$E$30)</f>
        <v/>
      </c>
      <c r="G32" s="300">
        <f>Balancete!G56</f>
        <v>0</v>
      </c>
      <c r="H32" s="274"/>
      <c r="J32" s="427"/>
      <c r="K32" s="428"/>
      <c r="L32" s="429"/>
      <c r="M32" s="430"/>
      <c r="N32" s="430"/>
      <c r="O32" s="430"/>
      <c r="P32" s="67"/>
      <c r="Q32" s="309"/>
    </row>
    <row r="33" spans="1:23" ht="30" customHeight="1" thickTop="1" thickBot="1" x14ac:dyDescent="0.4">
      <c r="C33" s="77" t="s">
        <v>121</v>
      </c>
      <c r="D33" s="437" t="s">
        <v>1261</v>
      </c>
      <c r="E33" s="301">
        <f>Balancete!F57</f>
        <v>0</v>
      </c>
      <c r="F33" s="87" t="str">
        <f t="shared" si="8"/>
        <v/>
      </c>
      <c r="G33" s="301">
        <f>Balancete!G57</f>
        <v>0</v>
      </c>
      <c r="H33" s="274"/>
      <c r="J33" s="427"/>
      <c r="K33" s="428"/>
      <c r="L33" s="429"/>
      <c r="M33" s="430"/>
      <c r="N33" s="430"/>
      <c r="O33" s="430"/>
      <c r="P33" s="67"/>
      <c r="Q33" s="309"/>
    </row>
    <row r="34" spans="1:23" ht="30" customHeight="1" thickTop="1" thickBot="1" x14ac:dyDescent="0.4">
      <c r="C34" s="77" t="s">
        <v>124</v>
      </c>
      <c r="D34" s="437" t="s">
        <v>125</v>
      </c>
      <c r="E34" s="302">
        <f>Balancete!F58</f>
        <v>0</v>
      </c>
      <c r="F34" s="87" t="str">
        <f t="shared" si="8"/>
        <v/>
      </c>
      <c r="G34" s="302">
        <f>Balancete!G58</f>
        <v>0</v>
      </c>
      <c r="H34" s="274"/>
      <c r="J34" s="427"/>
      <c r="K34" s="428"/>
      <c r="L34" s="429"/>
      <c r="M34" s="430"/>
      <c r="N34" s="430"/>
      <c r="O34" s="430"/>
      <c r="P34" s="67"/>
      <c r="Q34" s="309"/>
    </row>
    <row r="35" spans="1:23" ht="30" customHeight="1" thickTop="1" thickBot="1" x14ac:dyDescent="0.4">
      <c r="C35" s="77" t="s">
        <v>127</v>
      </c>
      <c r="D35" s="437" t="s">
        <v>128</v>
      </c>
      <c r="E35" s="301">
        <f>Balancete!F90</f>
        <v>0</v>
      </c>
      <c r="F35" s="87" t="str">
        <f t="shared" si="8"/>
        <v/>
      </c>
      <c r="G35" s="301">
        <f>Balancete!G90</f>
        <v>0</v>
      </c>
      <c r="H35" s="274"/>
      <c r="J35" s="652"/>
      <c r="K35" s="652"/>
      <c r="L35" s="653"/>
      <c r="M35" s="653"/>
      <c r="N35" s="431"/>
      <c r="O35" s="431"/>
      <c r="P35" s="240"/>
      <c r="Q35" s="312"/>
    </row>
    <row r="36" spans="1:23" ht="30" customHeight="1" thickTop="1" thickBot="1" x14ac:dyDescent="0.5">
      <c r="C36" s="77" t="s">
        <v>130</v>
      </c>
      <c r="D36" s="292" t="s">
        <v>1262</v>
      </c>
      <c r="E36" s="302">
        <f>Balancete!F83</f>
        <v>0</v>
      </c>
      <c r="F36" s="87" t="str">
        <f t="shared" si="8"/>
        <v/>
      </c>
      <c r="G36" s="302">
        <f>Balancete!G83</f>
        <v>0</v>
      </c>
      <c r="H36" s="274"/>
      <c r="J36" s="432"/>
      <c r="K36" s="432"/>
      <c r="L36" s="432"/>
      <c r="M36" s="432"/>
      <c r="N36" s="432"/>
      <c r="O36" s="432"/>
    </row>
    <row r="37" spans="1:23" ht="30" customHeight="1" thickTop="1" thickBot="1" x14ac:dyDescent="0.4">
      <c r="C37" s="77" t="s">
        <v>1263</v>
      </c>
      <c r="D37" s="295"/>
      <c r="E37" s="298"/>
      <c r="F37" s="87" t="str">
        <f t="shared" si="8"/>
        <v/>
      </c>
      <c r="G37" s="271"/>
      <c r="H37" s="270"/>
    </row>
    <row r="38" spans="1:23" ht="30" customHeight="1" thickTop="1" thickBot="1" x14ac:dyDescent="0.4">
      <c r="C38" s="76" t="s">
        <v>133</v>
      </c>
      <c r="D38" s="113" t="s">
        <v>1264</v>
      </c>
      <c r="E38" s="654">
        <f>IF(ISERROR(SUM(E39:E44)),"",SUM(E39:E44))</f>
        <v>0</v>
      </c>
      <c r="F38" s="655"/>
      <c r="G38" s="264"/>
      <c r="H38" s="269"/>
      <c r="L38" s="102"/>
      <c r="M38" s="101"/>
      <c r="N38" s="74"/>
      <c r="O38" s="74"/>
    </row>
    <row r="39" spans="1:23" s="1" customFormat="1" ht="30" customHeight="1" thickTop="1" thickBot="1" x14ac:dyDescent="0.4">
      <c r="A39"/>
      <c r="B39"/>
      <c r="C39" s="77" t="s">
        <v>135</v>
      </c>
      <c r="D39" s="439" t="s">
        <v>136</v>
      </c>
      <c r="E39" s="302">
        <f>Balancete!F87</f>
        <v>0</v>
      </c>
      <c r="F39" s="87" t="str">
        <f>IF(ISERROR(E39/$E$38),"",E39/$E$38)</f>
        <v/>
      </c>
      <c r="G39" s="302">
        <f>Balancete!G87</f>
        <v>0</v>
      </c>
      <c r="H39" s="274"/>
      <c r="I39"/>
      <c r="J39"/>
      <c r="K39"/>
      <c r="L39"/>
      <c r="M39" s="65"/>
      <c r="N39" s="65"/>
      <c r="O39" s="65"/>
      <c r="P39"/>
      <c r="Q39"/>
      <c r="R39"/>
      <c r="S39"/>
      <c r="T39"/>
      <c r="U39"/>
      <c r="V39"/>
      <c r="W39"/>
    </row>
    <row r="40" spans="1:23" s="1" customFormat="1" ht="30" customHeight="1" thickTop="1" thickBot="1" x14ac:dyDescent="0.4">
      <c r="A40"/>
      <c r="B40"/>
      <c r="C40" s="77" t="s">
        <v>138</v>
      </c>
      <c r="D40" s="440" t="s">
        <v>139</v>
      </c>
      <c r="E40" s="301">
        <f>Balancete!F88</f>
        <v>0</v>
      </c>
      <c r="F40" s="87" t="str">
        <f t="shared" ref="F40:F44" si="9">IF(ISERROR(E40/$E$38),"",E40/$E$38)</f>
        <v/>
      </c>
      <c r="G40" s="301">
        <f>Balancete!G88</f>
        <v>0</v>
      </c>
      <c r="H40" s="270"/>
      <c r="I40"/>
      <c r="J40"/>
      <c r="K40"/>
      <c r="L40"/>
      <c r="M40"/>
      <c r="N40"/>
      <c r="O40"/>
      <c r="P40"/>
      <c r="Q40"/>
      <c r="R40"/>
      <c r="S40"/>
      <c r="T40"/>
      <c r="U40"/>
      <c r="V40"/>
      <c r="W40"/>
    </row>
    <row r="41" spans="1:23" s="1" customFormat="1" ht="30" customHeight="1" thickTop="1" thickBot="1" x14ac:dyDescent="0.4">
      <c r="A41"/>
      <c r="B41"/>
      <c r="C41" s="77" t="s">
        <v>141</v>
      </c>
      <c r="D41" s="440" t="s">
        <v>142</v>
      </c>
      <c r="E41" s="302">
        <f>Balancete!F89</f>
        <v>0</v>
      </c>
      <c r="F41" s="87" t="str">
        <f t="shared" si="9"/>
        <v/>
      </c>
      <c r="G41" s="302">
        <f>Balancete!G89</f>
        <v>0</v>
      </c>
      <c r="H41" s="274"/>
      <c r="I41"/>
      <c r="J41"/>
      <c r="K41"/>
      <c r="L41"/>
      <c r="M41"/>
      <c r="N41"/>
      <c r="O41"/>
      <c r="P41"/>
      <c r="Q41"/>
      <c r="R41"/>
      <c r="S41"/>
      <c r="T41"/>
      <c r="U41"/>
      <c r="V41"/>
      <c r="W41"/>
    </row>
    <row r="42" spans="1:23" s="1" customFormat="1" ht="30" customHeight="1" thickTop="1" thickBot="1" x14ac:dyDescent="0.4">
      <c r="A42"/>
      <c r="B42"/>
      <c r="C42" s="77" t="s">
        <v>144</v>
      </c>
      <c r="D42" s="440" t="s">
        <v>122</v>
      </c>
      <c r="E42" s="301">
        <f>Balancete!F90</f>
        <v>0</v>
      </c>
      <c r="F42" s="87" t="str">
        <f t="shared" si="9"/>
        <v/>
      </c>
      <c r="G42" s="301">
        <f>Balancete!G90</f>
        <v>0</v>
      </c>
      <c r="H42" s="274"/>
      <c r="I42"/>
      <c r="J42"/>
      <c r="K42"/>
      <c r="L42"/>
      <c r="M42"/>
      <c r="N42"/>
      <c r="O42"/>
      <c r="P42"/>
      <c r="Q42"/>
      <c r="R42"/>
      <c r="S42"/>
      <c r="T42"/>
      <c r="U42"/>
      <c r="V42"/>
      <c r="W42"/>
    </row>
    <row r="43" spans="1:23" s="1" customFormat="1" ht="30" customHeight="1" thickTop="1" thickBot="1" x14ac:dyDescent="0.4">
      <c r="A43"/>
      <c r="B43"/>
      <c r="C43" s="77" t="s">
        <v>146</v>
      </c>
      <c r="D43" s="440" t="s">
        <v>147</v>
      </c>
      <c r="E43" s="302">
        <f>Balancete!F91</f>
        <v>0</v>
      </c>
      <c r="F43" s="87" t="str">
        <f t="shared" si="9"/>
        <v/>
      </c>
      <c r="G43" s="302">
        <f>Balancete!G91</f>
        <v>0</v>
      </c>
      <c r="H43" s="274"/>
      <c r="I43"/>
      <c r="J43"/>
      <c r="K43"/>
      <c r="L43"/>
      <c r="M43"/>
      <c r="N43"/>
      <c r="O43"/>
      <c r="P43"/>
      <c r="Q43"/>
      <c r="R43"/>
      <c r="S43"/>
      <c r="T43"/>
      <c r="U43"/>
      <c r="V43"/>
      <c r="W43"/>
    </row>
    <row r="44" spans="1:23" s="1" customFormat="1" ht="30" customHeight="1" thickTop="1" thickBot="1" x14ac:dyDescent="0.4">
      <c r="A44"/>
      <c r="B44"/>
      <c r="C44" s="77" t="s">
        <v>1265</v>
      </c>
      <c r="D44" s="295"/>
      <c r="E44" s="298"/>
      <c r="F44" s="87" t="str">
        <f t="shared" si="9"/>
        <v/>
      </c>
      <c r="G44" s="271"/>
      <c r="H44" s="270"/>
      <c r="I44"/>
      <c r="J44"/>
      <c r="K44"/>
      <c r="L44"/>
      <c r="M44"/>
      <c r="N44"/>
      <c r="O44"/>
      <c r="P44"/>
      <c r="Q44"/>
      <c r="R44"/>
      <c r="S44"/>
      <c r="T44"/>
      <c r="U44"/>
      <c r="V44"/>
      <c r="W44"/>
    </row>
    <row r="45" spans="1:23" s="1" customFormat="1" ht="30" customHeight="1" thickTop="1" thickBot="1" x14ac:dyDescent="0.4">
      <c r="A45"/>
      <c r="B45"/>
      <c r="C45" s="76" t="s">
        <v>149</v>
      </c>
      <c r="D45" s="232" t="s">
        <v>1266</v>
      </c>
      <c r="E45" s="648"/>
      <c r="F45" s="656"/>
      <c r="G45" s="265"/>
      <c r="H45" s="277"/>
      <c r="I45"/>
      <c r="J45"/>
      <c r="K45"/>
      <c r="L45"/>
      <c r="M45"/>
      <c r="N45"/>
      <c r="O45"/>
      <c r="P45"/>
      <c r="Q45"/>
      <c r="R45"/>
      <c r="S45"/>
      <c r="T45"/>
      <c r="U45"/>
      <c r="V45"/>
      <c r="W45"/>
    </row>
    <row r="46" spans="1:23" s="1" customFormat="1" ht="30" customHeight="1" thickTop="1" thickBot="1" x14ac:dyDescent="0.4">
      <c r="A46"/>
      <c r="B46"/>
      <c r="C46" s="77"/>
      <c r="D46" s="440"/>
      <c r="E46" s="304"/>
      <c r="F46" s="80"/>
      <c r="G46" s="278"/>
      <c r="H46" s="279"/>
      <c r="I46"/>
      <c r="J46"/>
      <c r="K46"/>
      <c r="L46" s="65"/>
      <c r="M46"/>
      <c r="N46"/>
      <c r="O46"/>
      <c r="P46"/>
      <c r="Q46"/>
      <c r="R46"/>
      <c r="S46"/>
      <c r="T46"/>
      <c r="U46"/>
      <c r="V46"/>
      <c r="W46"/>
    </row>
    <row r="47" spans="1:23" s="1" customFormat="1" ht="30" customHeight="1" thickTop="1" thickBot="1" x14ac:dyDescent="0.4">
      <c r="A47"/>
      <c r="B47"/>
      <c r="C47" s="77"/>
      <c r="D47" s="440"/>
      <c r="E47" s="304"/>
      <c r="F47" s="80"/>
      <c r="G47" s="280"/>
      <c r="H47" s="281"/>
      <c r="I47"/>
      <c r="J47"/>
      <c r="K47"/>
      <c r="L47"/>
      <c r="M47"/>
      <c r="N47"/>
      <c r="O47"/>
      <c r="P47"/>
      <c r="Q47"/>
      <c r="R47"/>
      <c r="S47"/>
      <c r="T47"/>
      <c r="U47"/>
      <c r="V47"/>
      <c r="W47"/>
    </row>
    <row r="48" spans="1:23" s="1" customFormat="1" ht="30" customHeight="1" thickTop="1" thickBot="1" x14ac:dyDescent="0.4">
      <c r="A48"/>
      <c r="B48"/>
      <c r="C48" s="77"/>
      <c r="D48" s="440"/>
      <c r="E48" s="304"/>
      <c r="F48" s="80"/>
      <c r="G48" s="280"/>
      <c r="H48" s="281"/>
      <c r="I48"/>
      <c r="J48"/>
      <c r="K48"/>
      <c r="L48" s="70"/>
      <c r="M48"/>
      <c r="N48"/>
      <c r="O48"/>
      <c r="P48"/>
      <c r="Q48"/>
      <c r="R48"/>
      <c r="S48"/>
      <c r="T48"/>
      <c r="U48"/>
      <c r="V48"/>
      <c r="W48"/>
    </row>
    <row r="49" spans="1:23" s="1" customFormat="1" ht="30" customHeight="1" thickTop="1" thickBot="1" x14ac:dyDescent="0.4">
      <c r="A49"/>
      <c r="B49"/>
      <c r="C49" s="77"/>
      <c r="D49" s="440"/>
      <c r="E49" s="305"/>
      <c r="F49" s="80"/>
      <c r="G49" s="280"/>
      <c r="H49" s="281"/>
      <c r="I49"/>
      <c r="J49"/>
      <c r="K49"/>
      <c r="L49" s="70"/>
      <c r="M49"/>
      <c r="N49"/>
      <c r="O49"/>
      <c r="P49"/>
      <c r="Q49"/>
      <c r="R49"/>
      <c r="S49"/>
      <c r="T49"/>
      <c r="U49"/>
      <c r="V49"/>
      <c r="W49"/>
    </row>
    <row r="50" spans="1:23" s="1" customFormat="1" ht="30" customHeight="1" thickTop="1" thickBot="1" x14ac:dyDescent="0.4">
      <c r="A50"/>
      <c r="B50"/>
      <c r="C50" s="77"/>
      <c r="D50" s="440"/>
      <c r="E50" s="306"/>
      <c r="F50" s="80"/>
      <c r="G50" s="280"/>
      <c r="H50" s="281"/>
      <c r="I50"/>
      <c r="J50"/>
      <c r="K50"/>
      <c r="L50" s="70"/>
      <c r="M50"/>
      <c r="N50"/>
      <c r="O50"/>
      <c r="P50"/>
      <c r="Q50"/>
      <c r="R50"/>
      <c r="S50"/>
      <c r="T50"/>
      <c r="U50"/>
      <c r="V50"/>
      <c r="W50"/>
    </row>
    <row r="51" spans="1:23" s="1" customFormat="1" ht="30" customHeight="1" thickTop="1" thickBot="1" x14ac:dyDescent="0.4">
      <c r="A51"/>
      <c r="B51"/>
      <c r="C51" s="77"/>
      <c r="D51" s="295"/>
      <c r="E51" s="307"/>
      <c r="F51" s="80"/>
      <c r="G51" s="280"/>
      <c r="H51" s="281"/>
      <c r="I51"/>
      <c r="J51"/>
      <c r="K51"/>
      <c r="L51"/>
      <c r="M51"/>
      <c r="N51"/>
      <c r="O51"/>
      <c r="P51"/>
      <c r="Q51"/>
      <c r="R51"/>
      <c r="S51"/>
      <c r="T51"/>
      <c r="U51"/>
      <c r="V51"/>
      <c r="W51"/>
    </row>
    <row r="52" spans="1:23" s="1" customFormat="1" ht="30" customHeight="1" thickTop="1" thickBot="1" x14ac:dyDescent="0.4">
      <c r="A52"/>
      <c r="B52"/>
      <c r="C52" s="77"/>
      <c r="D52" s="295"/>
      <c r="E52" s="304"/>
      <c r="F52" s="80"/>
      <c r="G52" s="280"/>
      <c r="H52" s="281"/>
      <c r="I52"/>
      <c r="J52"/>
      <c r="K52"/>
      <c r="L52"/>
      <c r="M52"/>
      <c r="N52"/>
      <c r="O52"/>
      <c r="P52"/>
      <c r="Q52"/>
      <c r="R52"/>
      <c r="S52"/>
      <c r="T52"/>
      <c r="U52"/>
      <c r="V52"/>
      <c r="W52"/>
    </row>
    <row r="53" spans="1:23" s="1" customFormat="1" ht="30" customHeight="1" thickTop="1" thickBot="1" x14ac:dyDescent="0.4">
      <c r="A53"/>
      <c r="B53"/>
      <c r="C53" s="77"/>
      <c r="D53" s="295"/>
      <c r="E53" s="306"/>
      <c r="F53" s="80"/>
      <c r="G53" s="280"/>
      <c r="H53" s="281"/>
      <c r="I53"/>
      <c r="J53"/>
      <c r="K53"/>
      <c r="L53"/>
      <c r="M53"/>
      <c r="N53"/>
      <c r="O53"/>
      <c r="P53"/>
      <c r="Q53"/>
      <c r="R53"/>
      <c r="S53"/>
      <c r="T53"/>
      <c r="U53"/>
      <c r="V53"/>
      <c r="W53"/>
    </row>
    <row r="54" spans="1:23" s="1" customFormat="1" ht="30" customHeight="1" thickTop="1" thickBot="1" x14ac:dyDescent="0.4">
      <c r="A54"/>
      <c r="B54"/>
      <c r="C54" s="77"/>
      <c r="D54" s="296"/>
      <c r="E54" s="304"/>
      <c r="F54" s="80"/>
      <c r="G54" s="278"/>
      <c r="H54" s="279"/>
      <c r="I54"/>
      <c r="J54"/>
      <c r="K54"/>
      <c r="L54"/>
      <c r="M54"/>
      <c r="N54"/>
      <c r="O54"/>
      <c r="P54"/>
      <c r="Q54"/>
      <c r="R54"/>
      <c r="S54"/>
      <c r="T54"/>
      <c r="U54"/>
      <c r="V54"/>
      <c r="W54"/>
    </row>
    <row r="55" spans="1:23" s="1" customFormat="1" ht="30" customHeight="1" thickTop="1" thickBot="1" x14ac:dyDescent="0.4">
      <c r="A55"/>
      <c r="B55"/>
      <c r="C55" s="76"/>
      <c r="D55" s="81"/>
      <c r="E55" s="647"/>
      <c r="F55" s="648"/>
      <c r="G55" s="267"/>
      <c r="H55" s="267"/>
      <c r="I55"/>
      <c r="J55"/>
      <c r="K55"/>
      <c r="L55"/>
      <c r="M55"/>
      <c r="N55"/>
      <c r="O55"/>
      <c r="P55"/>
      <c r="Q55"/>
      <c r="R55"/>
      <c r="S55"/>
      <c r="T55"/>
      <c r="U55"/>
      <c r="V55"/>
      <c r="W55"/>
    </row>
    <row r="56" spans="1:23" s="1" customFormat="1" ht="34" customHeight="1" thickTop="1" thickBot="1" x14ac:dyDescent="0.4">
      <c r="A56"/>
      <c r="B56"/>
      <c r="C56" s="77"/>
      <c r="D56" s="78"/>
      <c r="E56" s="79"/>
      <c r="F56" s="80"/>
      <c r="G56" s="266"/>
      <c r="H56" s="266"/>
      <c r="I56"/>
      <c r="J56"/>
      <c r="K56"/>
      <c r="L56"/>
      <c r="M56"/>
      <c r="N56"/>
      <c r="O56"/>
      <c r="P56"/>
      <c r="Q56"/>
      <c r="R56"/>
      <c r="S56"/>
      <c r="T56"/>
      <c r="U56"/>
      <c r="V56"/>
      <c r="W56"/>
    </row>
    <row r="57" spans="1:23" s="1" customFormat="1" ht="34" customHeight="1" thickTop="1" thickBot="1" x14ac:dyDescent="0.4">
      <c r="A57"/>
      <c r="B57"/>
      <c r="C57" s="77"/>
      <c r="D57" s="78"/>
      <c r="E57" s="79"/>
      <c r="F57" s="80"/>
      <c r="G57" s="266"/>
      <c r="H57" s="266"/>
      <c r="I57"/>
      <c r="J57"/>
      <c r="K57"/>
      <c r="L57"/>
      <c r="M57"/>
      <c r="N57"/>
      <c r="O57"/>
      <c r="P57"/>
      <c r="Q57"/>
      <c r="R57"/>
      <c r="S57"/>
      <c r="T57"/>
      <c r="U57"/>
      <c r="V57"/>
      <c r="W57"/>
    </row>
    <row r="58" spans="1:23" s="1" customFormat="1" ht="34" customHeight="1" thickTop="1" thickBot="1" x14ac:dyDescent="0.4">
      <c r="A58"/>
      <c r="B58"/>
      <c r="C58" s="77"/>
      <c r="D58" s="78"/>
      <c r="E58" s="79"/>
      <c r="F58" s="80"/>
      <c r="G58" s="266"/>
      <c r="H58" s="266"/>
      <c r="I58"/>
      <c r="J58"/>
      <c r="K58"/>
      <c r="L58"/>
      <c r="M58"/>
      <c r="N58"/>
      <c r="O58"/>
      <c r="P58"/>
      <c r="Q58"/>
      <c r="R58"/>
      <c r="S58"/>
      <c r="T58"/>
      <c r="U58"/>
      <c r="V58"/>
      <c r="W58"/>
    </row>
    <row r="59" spans="1:23" s="1" customFormat="1" ht="34" customHeight="1" thickTop="1" thickBot="1" x14ac:dyDescent="0.4">
      <c r="A59"/>
      <c r="B59"/>
      <c r="C59" s="77"/>
      <c r="D59" s="78"/>
      <c r="E59" s="79"/>
      <c r="F59" s="80"/>
      <c r="G59" s="266"/>
      <c r="H59" s="266"/>
      <c r="I59"/>
      <c r="J59"/>
      <c r="K59"/>
      <c r="L59"/>
      <c r="M59"/>
      <c r="N59"/>
      <c r="O59"/>
      <c r="P59"/>
      <c r="Q59"/>
      <c r="R59"/>
      <c r="S59"/>
      <c r="T59"/>
      <c r="U59"/>
      <c r="V59"/>
      <c r="W59"/>
    </row>
    <row r="60" spans="1:23" s="1" customFormat="1" ht="34" customHeight="1" thickTop="1" thickBot="1" x14ac:dyDescent="0.4">
      <c r="A60"/>
      <c r="B60"/>
      <c r="C60" s="77"/>
      <c r="D60" s="78"/>
      <c r="E60" s="79"/>
      <c r="F60" s="80"/>
      <c r="G60" s="266"/>
      <c r="H60" s="266"/>
      <c r="I60"/>
      <c r="J60"/>
      <c r="K60"/>
      <c r="L60"/>
      <c r="M60"/>
      <c r="N60"/>
      <c r="O60"/>
      <c r="P60"/>
      <c r="Q60"/>
      <c r="R60"/>
      <c r="S60"/>
      <c r="T60"/>
      <c r="U60"/>
      <c r="V60"/>
      <c r="W60"/>
    </row>
    <row r="61" spans="1:23" s="1" customFormat="1" ht="34" customHeight="1" thickTop="1" thickBot="1" x14ac:dyDescent="0.4">
      <c r="A61"/>
      <c r="B61"/>
      <c r="C61" s="77"/>
      <c r="D61" s="78"/>
      <c r="E61" s="79"/>
      <c r="F61" s="80"/>
      <c r="G61" s="266"/>
      <c r="H61" s="266"/>
      <c r="I61"/>
      <c r="J61"/>
      <c r="K61"/>
      <c r="L61"/>
      <c r="M61"/>
      <c r="N61"/>
      <c r="O61"/>
      <c r="P61"/>
      <c r="Q61"/>
      <c r="R61"/>
      <c r="S61"/>
      <c r="T61"/>
      <c r="U61"/>
      <c r="V61"/>
      <c r="W61"/>
    </row>
    <row r="62" spans="1:23" s="1" customFormat="1" ht="34" customHeight="1" thickTop="1" thickBot="1" x14ac:dyDescent="0.4">
      <c r="A62"/>
      <c r="B62"/>
      <c r="C62" s="77"/>
      <c r="D62" s="78"/>
      <c r="E62" s="79"/>
      <c r="F62" s="80"/>
      <c r="G62" s="266"/>
      <c r="H62" s="266"/>
      <c r="I62"/>
      <c r="J62"/>
      <c r="K62"/>
      <c r="L62"/>
      <c r="M62"/>
      <c r="N62"/>
      <c r="O62"/>
      <c r="P62"/>
      <c r="Q62"/>
      <c r="R62"/>
      <c r="S62"/>
      <c r="T62"/>
      <c r="U62"/>
      <c r="V62"/>
      <c r="W62"/>
    </row>
    <row r="63" spans="1:23" s="1" customFormat="1" ht="34" customHeight="1" thickTop="1" thickBot="1" x14ac:dyDescent="0.4">
      <c r="A63"/>
      <c r="B63"/>
      <c r="C63" s="77"/>
      <c r="D63" s="78"/>
      <c r="E63" s="79"/>
      <c r="F63" s="80"/>
      <c r="G63" s="266"/>
      <c r="H63" s="266"/>
      <c r="I63"/>
      <c r="J63"/>
      <c r="K63"/>
      <c r="L63"/>
      <c r="M63"/>
      <c r="N63"/>
      <c r="O63"/>
      <c r="P63"/>
      <c r="Q63"/>
      <c r="R63"/>
      <c r="S63"/>
      <c r="T63"/>
      <c r="U63"/>
      <c r="V63"/>
      <c r="W63"/>
    </row>
    <row r="64" spans="1:23" s="1" customFormat="1" ht="34" customHeight="1" thickTop="1" x14ac:dyDescent="0.35">
      <c r="A64"/>
      <c r="B64"/>
      <c r="C64" s="10"/>
      <c r="D64" s="10"/>
      <c r="E64" s="10"/>
      <c r="F64" s="10"/>
      <c r="G64" s="10"/>
      <c r="H64" s="10"/>
      <c r="I64"/>
      <c r="J64"/>
      <c r="K64"/>
      <c r="L64"/>
      <c r="M64"/>
      <c r="N64"/>
      <c r="O64"/>
      <c r="P64"/>
      <c r="Q64"/>
      <c r="R64"/>
      <c r="S64"/>
      <c r="T64"/>
      <c r="U64"/>
      <c r="V64"/>
      <c r="W64"/>
    </row>
    <row r="65" spans="1:23" s="1" customFormat="1" ht="34" customHeight="1" x14ac:dyDescent="0.35">
      <c r="A65"/>
      <c r="B65"/>
      <c r="C65" s="10"/>
      <c r="D65" s="10"/>
      <c r="E65" s="10"/>
      <c r="F65" s="10"/>
      <c r="G65" s="10"/>
      <c r="H65" s="10"/>
      <c r="I65"/>
      <c r="J65"/>
      <c r="K65"/>
      <c r="L65"/>
      <c r="M65"/>
      <c r="N65"/>
      <c r="O65"/>
      <c r="P65"/>
      <c r="Q65"/>
      <c r="R65"/>
      <c r="S65"/>
      <c r="T65"/>
      <c r="U65"/>
      <c r="V65"/>
      <c r="W65"/>
    </row>
    <row r="66" spans="1:23" s="1" customFormat="1" ht="34" customHeight="1" x14ac:dyDescent="0.35">
      <c r="A66"/>
      <c r="B66"/>
      <c r="C66" s="10"/>
      <c r="D66" s="10"/>
      <c r="E66" s="10"/>
      <c r="F66" s="10"/>
      <c r="G66" s="10"/>
      <c r="H66" s="10"/>
      <c r="I66"/>
      <c r="J66"/>
      <c r="K66"/>
      <c r="L66"/>
      <c r="M66"/>
      <c r="N66"/>
      <c r="O66"/>
      <c r="P66"/>
      <c r="Q66"/>
      <c r="R66"/>
      <c r="S66"/>
      <c r="T66"/>
      <c r="U66"/>
      <c r="V66"/>
      <c r="W66"/>
    </row>
    <row r="67" spans="1:23" s="1" customFormat="1" ht="34" customHeight="1" x14ac:dyDescent="0.35">
      <c r="A67"/>
      <c r="B67"/>
      <c r="C67" s="10"/>
      <c r="D67" s="10"/>
      <c r="E67" s="10"/>
      <c r="F67" s="10"/>
      <c r="G67" s="10"/>
      <c r="H67" s="10"/>
      <c r="I67"/>
      <c r="J67"/>
      <c r="K67"/>
      <c r="L67"/>
      <c r="M67"/>
      <c r="N67"/>
      <c r="O67"/>
      <c r="P67"/>
      <c r="Q67"/>
      <c r="R67"/>
      <c r="S67"/>
      <c r="T67"/>
      <c r="U67"/>
      <c r="V67"/>
      <c r="W67"/>
    </row>
    <row r="68" spans="1:23" s="1" customFormat="1" ht="34" customHeight="1" x14ac:dyDescent="0.35">
      <c r="A68"/>
      <c r="B68"/>
      <c r="C68" s="10"/>
      <c r="D68" s="10"/>
      <c r="E68" s="10"/>
      <c r="F68" s="10"/>
      <c r="G68" s="10"/>
      <c r="H68" s="10"/>
      <c r="I68"/>
      <c r="J68"/>
      <c r="K68"/>
      <c r="L68"/>
      <c r="M68"/>
      <c r="N68"/>
      <c r="O68"/>
      <c r="P68"/>
      <c r="Q68"/>
      <c r="R68"/>
      <c r="S68"/>
      <c r="T68"/>
      <c r="U68"/>
      <c r="V68"/>
      <c r="W68"/>
    </row>
    <row r="69" spans="1:23" s="1" customFormat="1" ht="34" customHeight="1" x14ac:dyDescent="0.35">
      <c r="A69"/>
      <c r="B69"/>
      <c r="C69" s="10"/>
      <c r="D69" s="10"/>
      <c r="E69" s="10"/>
      <c r="F69" s="10"/>
      <c r="G69" s="10"/>
      <c r="H69" s="10"/>
      <c r="I69"/>
      <c r="J69"/>
      <c r="K69"/>
      <c r="L69"/>
      <c r="M69"/>
      <c r="N69"/>
      <c r="O69"/>
      <c r="P69"/>
      <c r="Q69"/>
      <c r="R69"/>
      <c r="S69"/>
      <c r="T69"/>
      <c r="U69"/>
      <c r="V69"/>
      <c r="W69"/>
    </row>
    <row r="70" spans="1:23" s="1" customFormat="1" ht="34" customHeight="1" x14ac:dyDescent="0.35">
      <c r="A70"/>
      <c r="B70"/>
      <c r="C70" s="10"/>
      <c r="D70" s="10"/>
      <c r="E70" s="10"/>
      <c r="F70" s="10"/>
      <c r="G70" s="10"/>
      <c r="H70" s="10"/>
      <c r="I70"/>
      <c r="J70"/>
      <c r="K70"/>
      <c r="L70"/>
      <c r="M70"/>
      <c r="N70"/>
      <c r="O70"/>
      <c r="P70"/>
      <c r="Q70"/>
      <c r="R70"/>
      <c r="S70"/>
      <c r="T70"/>
      <c r="U70"/>
      <c r="V70"/>
      <c r="W70"/>
    </row>
    <row r="71" spans="1:23" s="1" customFormat="1" ht="34" customHeight="1" x14ac:dyDescent="0.35">
      <c r="A71"/>
      <c r="B71"/>
      <c r="C71" s="10"/>
      <c r="D71" s="10"/>
      <c r="E71" s="10"/>
      <c r="F71" s="10"/>
      <c r="G71" s="10"/>
      <c r="H71" s="10"/>
      <c r="I71"/>
      <c r="J71"/>
      <c r="K71"/>
      <c r="L71"/>
      <c r="M71"/>
      <c r="N71"/>
      <c r="O71"/>
      <c r="P71"/>
      <c r="Q71"/>
      <c r="R71"/>
      <c r="S71"/>
      <c r="T71"/>
      <c r="U71"/>
      <c r="V71"/>
      <c r="W71"/>
    </row>
    <row r="72" spans="1:23" s="1" customFormat="1" ht="34" customHeight="1" x14ac:dyDescent="0.35">
      <c r="A72"/>
      <c r="B72"/>
      <c r="C72" s="10"/>
      <c r="D72" s="10"/>
      <c r="E72" s="10"/>
      <c r="F72" s="10"/>
      <c r="G72" s="10"/>
      <c r="H72" s="10"/>
      <c r="I72"/>
      <c r="J72"/>
      <c r="K72"/>
      <c r="L72"/>
      <c r="M72"/>
      <c r="N72"/>
      <c r="O72"/>
      <c r="P72"/>
      <c r="Q72"/>
      <c r="R72"/>
      <c r="S72"/>
      <c r="T72"/>
      <c r="U72"/>
      <c r="V72"/>
      <c r="W72"/>
    </row>
    <row r="73" spans="1:23" s="1" customFormat="1" ht="34" customHeight="1" x14ac:dyDescent="0.35">
      <c r="A73"/>
      <c r="B73"/>
      <c r="C73" s="10"/>
      <c r="D73" s="10"/>
      <c r="E73" s="10"/>
      <c r="F73" s="10"/>
      <c r="G73" s="10"/>
      <c r="H73" s="10"/>
      <c r="I73"/>
      <c r="J73"/>
      <c r="K73"/>
      <c r="L73"/>
      <c r="M73"/>
      <c r="N73"/>
      <c r="O73"/>
      <c r="P73"/>
      <c r="Q73"/>
      <c r="R73"/>
      <c r="S73"/>
      <c r="T73"/>
      <c r="U73"/>
      <c r="V73"/>
      <c r="W73"/>
    </row>
    <row r="74" spans="1:23" s="1" customFormat="1" ht="34" customHeight="1" x14ac:dyDescent="0.35">
      <c r="A74"/>
      <c r="B74"/>
      <c r="C74"/>
      <c r="D74"/>
      <c r="E74"/>
      <c r="F74"/>
      <c r="G74"/>
      <c r="H74"/>
      <c r="I74"/>
      <c r="J74"/>
      <c r="K74"/>
      <c r="L74"/>
      <c r="M74"/>
      <c r="N74"/>
      <c r="O74"/>
      <c r="P74"/>
      <c r="Q74"/>
      <c r="R74"/>
      <c r="S74"/>
      <c r="T74"/>
      <c r="U74"/>
      <c r="V74"/>
      <c r="W74"/>
    </row>
    <row r="75" spans="1:23" s="1" customFormat="1" ht="34" customHeight="1" x14ac:dyDescent="0.35">
      <c r="A75"/>
      <c r="B75"/>
      <c r="C75"/>
      <c r="D75"/>
      <c r="E75"/>
      <c r="F75"/>
      <c r="G75"/>
      <c r="H75"/>
      <c r="I75"/>
      <c r="J75"/>
      <c r="K75"/>
      <c r="L75"/>
      <c r="M75"/>
      <c r="N75"/>
      <c r="O75"/>
      <c r="P75"/>
      <c r="Q75"/>
      <c r="R75"/>
      <c r="S75"/>
      <c r="T75"/>
      <c r="U75"/>
      <c r="V75"/>
      <c r="W75"/>
    </row>
    <row r="76" spans="1:23" s="1" customFormat="1" ht="34" customHeight="1" x14ac:dyDescent="0.35">
      <c r="A76"/>
      <c r="B76"/>
      <c r="C76"/>
      <c r="D76"/>
      <c r="E76"/>
      <c r="F76"/>
      <c r="G76"/>
      <c r="H76"/>
      <c r="I76"/>
      <c r="J76"/>
      <c r="K76"/>
      <c r="L76"/>
      <c r="M76"/>
      <c r="N76"/>
      <c r="O76"/>
      <c r="P76"/>
      <c r="Q76"/>
      <c r="R76"/>
      <c r="S76"/>
      <c r="T76"/>
      <c r="U76"/>
      <c r="V76"/>
      <c r="W76"/>
    </row>
    <row r="77" spans="1:23" s="1" customFormat="1" ht="34" customHeight="1" x14ac:dyDescent="0.35">
      <c r="A77"/>
      <c r="B77"/>
      <c r="C77"/>
      <c r="D77"/>
      <c r="E77"/>
      <c r="F77"/>
      <c r="G77"/>
      <c r="H77"/>
      <c r="I77"/>
      <c r="J77"/>
      <c r="K77"/>
      <c r="L77"/>
      <c r="M77"/>
      <c r="N77"/>
      <c r="O77"/>
      <c r="P77"/>
      <c r="Q77"/>
      <c r="R77"/>
      <c r="S77"/>
      <c r="T77"/>
      <c r="U77"/>
      <c r="V77"/>
      <c r="W77"/>
    </row>
    <row r="78" spans="1:23" s="1" customFormat="1" ht="34" customHeight="1" x14ac:dyDescent="0.35">
      <c r="A78"/>
      <c r="B78"/>
      <c r="C78"/>
      <c r="D78"/>
      <c r="E78"/>
      <c r="F78"/>
      <c r="G78"/>
      <c r="H78"/>
      <c r="I78"/>
      <c r="J78"/>
      <c r="K78"/>
      <c r="L78"/>
      <c r="M78"/>
      <c r="N78"/>
      <c r="O78"/>
      <c r="P78"/>
      <c r="Q78"/>
      <c r="R78"/>
      <c r="S78"/>
      <c r="T78"/>
      <c r="U78"/>
      <c r="V78"/>
      <c r="W78"/>
    </row>
    <row r="79" spans="1:23" s="1" customFormat="1" ht="34" customHeight="1" x14ac:dyDescent="0.35">
      <c r="A79"/>
      <c r="B79"/>
      <c r="C79"/>
      <c r="D79"/>
      <c r="E79"/>
      <c r="F79"/>
      <c r="G79"/>
      <c r="H79"/>
      <c r="I79"/>
      <c r="J79"/>
      <c r="K79"/>
      <c r="L79"/>
      <c r="M79"/>
      <c r="N79"/>
      <c r="O79"/>
      <c r="P79"/>
      <c r="Q79"/>
      <c r="R79"/>
      <c r="S79"/>
      <c r="T79"/>
      <c r="U79"/>
      <c r="V79"/>
      <c r="W79"/>
    </row>
    <row r="80" spans="1:23" s="1" customFormat="1" ht="34" customHeight="1" x14ac:dyDescent="0.35">
      <c r="A80"/>
      <c r="B80"/>
      <c r="C80"/>
      <c r="D80"/>
      <c r="E80"/>
      <c r="F80"/>
      <c r="G80"/>
      <c r="H80"/>
      <c r="I80"/>
      <c r="J80"/>
      <c r="K80"/>
      <c r="L80"/>
      <c r="M80"/>
      <c r="N80"/>
      <c r="O80"/>
      <c r="P80"/>
      <c r="Q80"/>
      <c r="R80"/>
      <c r="S80"/>
      <c r="T80"/>
      <c r="U80"/>
      <c r="V80"/>
      <c r="W80"/>
    </row>
    <row r="81" spans="1:23" s="1" customFormat="1" ht="34" customHeight="1" x14ac:dyDescent="0.35">
      <c r="A81"/>
      <c r="B81"/>
      <c r="C81"/>
      <c r="D81"/>
      <c r="E81"/>
      <c r="F81"/>
      <c r="G81"/>
      <c r="H81"/>
      <c r="I81"/>
      <c r="J81"/>
      <c r="K81"/>
      <c r="L81"/>
      <c r="M81"/>
      <c r="N81"/>
      <c r="O81"/>
      <c r="P81"/>
      <c r="Q81"/>
      <c r="R81"/>
      <c r="S81"/>
      <c r="T81"/>
      <c r="U81"/>
      <c r="V81"/>
      <c r="W81"/>
    </row>
    <row r="82" spans="1:23" s="1" customFormat="1" ht="34" customHeight="1" x14ac:dyDescent="0.35">
      <c r="A82"/>
      <c r="B82"/>
      <c r="C82"/>
      <c r="D82"/>
      <c r="E82"/>
      <c r="F82"/>
      <c r="G82"/>
      <c r="H82"/>
      <c r="I82"/>
      <c r="J82"/>
      <c r="K82"/>
      <c r="L82"/>
      <c r="M82"/>
      <c r="N82"/>
      <c r="O82"/>
      <c r="P82"/>
      <c r="Q82"/>
      <c r="R82"/>
      <c r="S82"/>
      <c r="T82"/>
      <c r="U82"/>
      <c r="V82"/>
      <c r="W82"/>
    </row>
    <row r="83" spans="1:23" s="1" customFormat="1" ht="34" customHeight="1" x14ac:dyDescent="0.35">
      <c r="A83"/>
      <c r="B83"/>
      <c r="C83"/>
      <c r="D83"/>
      <c r="E83"/>
      <c r="F83"/>
      <c r="G83"/>
      <c r="H83"/>
      <c r="I83"/>
      <c r="J83"/>
      <c r="K83"/>
      <c r="L83"/>
      <c r="M83"/>
      <c r="N83"/>
      <c r="O83"/>
      <c r="P83"/>
      <c r="Q83"/>
      <c r="R83"/>
      <c r="S83"/>
      <c r="T83"/>
      <c r="U83"/>
      <c r="V83"/>
      <c r="W83"/>
    </row>
    <row r="84" spans="1:23" s="1" customFormat="1" ht="34" customHeight="1" x14ac:dyDescent="0.35">
      <c r="A84"/>
      <c r="B84"/>
      <c r="C84"/>
      <c r="D84"/>
      <c r="E84"/>
      <c r="F84"/>
      <c r="G84"/>
      <c r="H84"/>
      <c r="I84"/>
      <c r="J84"/>
      <c r="K84"/>
      <c r="L84"/>
      <c r="M84"/>
      <c r="N84"/>
      <c r="O84"/>
      <c r="P84"/>
      <c r="Q84"/>
      <c r="R84"/>
      <c r="S84"/>
      <c r="T84"/>
      <c r="U84"/>
      <c r="V84"/>
      <c r="W84"/>
    </row>
    <row r="85" spans="1:23" s="1" customFormat="1" ht="34" customHeight="1" x14ac:dyDescent="0.35">
      <c r="A85"/>
      <c r="B85"/>
      <c r="C85"/>
      <c r="D85"/>
      <c r="E85"/>
      <c r="F85"/>
      <c r="G85"/>
      <c r="H85"/>
      <c r="I85"/>
      <c r="J85"/>
      <c r="K85"/>
      <c r="L85"/>
      <c r="M85"/>
      <c r="N85"/>
      <c r="O85"/>
      <c r="P85"/>
      <c r="Q85"/>
      <c r="R85"/>
      <c r="S85"/>
      <c r="T85"/>
      <c r="U85"/>
      <c r="V85"/>
      <c r="W85"/>
    </row>
    <row r="86" spans="1:23" s="1" customFormat="1" ht="34" customHeight="1" x14ac:dyDescent="0.35">
      <c r="A86"/>
      <c r="B86"/>
      <c r="C86"/>
      <c r="D86"/>
      <c r="E86"/>
      <c r="F86"/>
      <c r="G86"/>
      <c r="H86"/>
      <c r="I86"/>
      <c r="J86"/>
      <c r="K86"/>
      <c r="L86"/>
      <c r="M86"/>
      <c r="N86"/>
      <c r="O86"/>
      <c r="P86"/>
      <c r="Q86"/>
      <c r="R86"/>
      <c r="S86"/>
      <c r="T86"/>
      <c r="U86"/>
      <c r="V86"/>
      <c r="W86"/>
    </row>
    <row r="87" spans="1:23" s="1" customFormat="1" ht="34" customHeight="1" x14ac:dyDescent="0.35">
      <c r="A87"/>
      <c r="B87"/>
      <c r="C87"/>
      <c r="D87"/>
      <c r="E87"/>
      <c r="F87"/>
      <c r="G87"/>
      <c r="H87"/>
      <c r="I87"/>
      <c r="J87"/>
      <c r="K87"/>
      <c r="L87"/>
      <c r="M87"/>
      <c r="N87"/>
      <c r="O87"/>
      <c r="P87"/>
      <c r="Q87"/>
      <c r="R87"/>
      <c r="S87"/>
      <c r="T87"/>
      <c r="U87"/>
      <c r="V87"/>
      <c r="W87"/>
    </row>
    <row r="88" spans="1:23" s="1" customFormat="1" ht="28.5" customHeight="1" x14ac:dyDescent="0.35">
      <c r="A88"/>
      <c r="B88"/>
      <c r="C88"/>
      <c r="D88"/>
      <c r="E88"/>
      <c r="F88"/>
      <c r="G88"/>
      <c r="H88"/>
      <c r="I88"/>
      <c r="J88"/>
      <c r="K88"/>
      <c r="L88"/>
      <c r="M88"/>
      <c r="N88"/>
      <c r="O88"/>
      <c r="P88"/>
      <c r="Q88"/>
      <c r="R88"/>
      <c r="S88"/>
      <c r="T88"/>
      <c r="U88"/>
      <c r="V88"/>
      <c r="W88"/>
    </row>
    <row r="89" spans="1:23" s="1" customFormat="1" ht="28.5" customHeight="1" x14ac:dyDescent="0.35">
      <c r="A89"/>
      <c r="B89"/>
      <c r="C89"/>
      <c r="D89"/>
      <c r="E89"/>
      <c r="F89"/>
      <c r="G89"/>
      <c r="H89"/>
      <c r="I89"/>
      <c r="J89"/>
      <c r="K89"/>
      <c r="L89"/>
      <c r="M89"/>
      <c r="N89"/>
      <c r="O89"/>
      <c r="P89"/>
      <c r="Q89"/>
      <c r="R89"/>
      <c r="S89"/>
      <c r="T89"/>
      <c r="U89"/>
      <c r="V89"/>
      <c r="W89"/>
    </row>
    <row r="90" spans="1:23" s="1" customFormat="1" ht="28.5" customHeight="1" x14ac:dyDescent="0.35">
      <c r="A90"/>
      <c r="B90"/>
      <c r="C90"/>
      <c r="D90"/>
      <c r="E90"/>
      <c r="F90"/>
      <c r="G90"/>
      <c r="H90"/>
      <c r="I90"/>
      <c r="J90"/>
      <c r="K90"/>
      <c r="L90"/>
      <c r="M90"/>
      <c r="N90"/>
      <c r="O90"/>
      <c r="P90"/>
      <c r="Q90"/>
      <c r="R90"/>
      <c r="S90"/>
      <c r="T90"/>
      <c r="U90"/>
      <c r="V90"/>
      <c r="W90"/>
    </row>
    <row r="91" spans="1:23" s="1" customFormat="1" ht="28.5" customHeight="1" x14ac:dyDescent="0.35">
      <c r="A91"/>
      <c r="B91"/>
      <c r="C91"/>
      <c r="D91"/>
      <c r="E91"/>
      <c r="F91"/>
      <c r="G91"/>
      <c r="H91"/>
      <c r="I91"/>
      <c r="J91"/>
      <c r="K91"/>
      <c r="L91"/>
      <c r="M91"/>
      <c r="N91"/>
      <c r="O91"/>
      <c r="P91"/>
      <c r="Q91"/>
      <c r="R91"/>
      <c r="S91"/>
      <c r="T91"/>
      <c r="U91"/>
      <c r="V91"/>
      <c r="W91"/>
    </row>
    <row r="92" spans="1:23" s="1" customFormat="1" ht="28.5" customHeight="1" x14ac:dyDescent="0.35">
      <c r="A92"/>
      <c r="B92"/>
      <c r="C92"/>
      <c r="D92"/>
      <c r="E92"/>
      <c r="F92"/>
      <c r="G92"/>
      <c r="H92"/>
      <c r="I92"/>
      <c r="J92"/>
      <c r="K92"/>
      <c r="L92"/>
      <c r="M92"/>
      <c r="N92"/>
      <c r="O92"/>
      <c r="P92"/>
      <c r="Q92"/>
      <c r="R92"/>
      <c r="S92"/>
      <c r="T92"/>
      <c r="U92"/>
      <c r="V92"/>
      <c r="W92"/>
    </row>
    <row r="93" spans="1:23" s="1" customFormat="1" ht="28.5" customHeight="1" x14ac:dyDescent="0.35">
      <c r="A93"/>
      <c r="B93"/>
      <c r="C93"/>
      <c r="D93"/>
      <c r="E93"/>
      <c r="F93"/>
      <c r="G93"/>
      <c r="H93"/>
      <c r="I93"/>
      <c r="J93"/>
      <c r="K93"/>
      <c r="L93"/>
      <c r="M93"/>
      <c r="N93"/>
      <c r="O93"/>
      <c r="P93"/>
      <c r="Q93"/>
      <c r="R93"/>
      <c r="S93"/>
      <c r="T93"/>
      <c r="U93"/>
      <c r="V93"/>
      <c r="W93"/>
    </row>
    <row r="94" spans="1:23" s="1" customFormat="1" ht="28.5" customHeight="1" x14ac:dyDescent="0.35">
      <c r="A94"/>
      <c r="B94"/>
      <c r="C94"/>
      <c r="D94"/>
      <c r="E94"/>
      <c r="F94"/>
      <c r="G94"/>
      <c r="H94"/>
      <c r="I94"/>
      <c r="J94"/>
      <c r="K94"/>
      <c r="L94"/>
      <c r="M94"/>
      <c r="N94"/>
      <c r="O94"/>
      <c r="P94"/>
      <c r="Q94"/>
      <c r="R94"/>
      <c r="S94"/>
      <c r="T94"/>
      <c r="U94"/>
      <c r="V94"/>
      <c r="W94"/>
    </row>
    <row r="95" spans="1:23" s="1" customFormat="1" ht="28.5" customHeight="1" x14ac:dyDescent="0.35">
      <c r="A95"/>
      <c r="B95"/>
      <c r="C95"/>
      <c r="D95"/>
      <c r="E95"/>
      <c r="F95"/>
      <c r="G95"/>
      <c r="H95"/>
      <c r="I95"/>
      <c r="J95"/>
      <c r="K95"/>
      <c r="L95"/>
      <c r="M95"/>
      <c r="N95"/>
      <c r="O95"/>
      <c r="P95"/>
      <c r="Q95"/>
      <c r="R95"/>
      <c r="S95"/>
      <c r="T95"/>
      <c r="U95"/>
      <c r="V95"/>
      <c r="W95"/>
    </row>
    <row r="96" spans="1:23" s="1" customFormat="1" ht="28.5" customHeight="1" x14ac:dyDescent="0.35">
      <c r="A96"/>
      <c r="B96"/>
      <c r="C96"/>
      <c r="D96"/>
      <c r="E96"/>
      <c r="F96"/>
      <c r="G96"/>
      <c r="H96"/>
      <c r="I96"/>
      <c r="J96"/>
      <c r="K96"/>
      <c r="L96"/>
      <c r="M96"/>
      <c r="N96"/>
      <c r="O96"/>
      <c r="P96"/>
      <c r="Q96"/>
      <c r="R96"/>
      <c r="S96"/>
      <c r="T96"/>
      <c r="U96"/>
      <c r="V96"/>
      <c r="W96"/>
    </row>
    <row r="97" spans="1:23" s="1" customFormat="1" ht="34" customHeight="1" x14ac:dyDescent="0.35">
      <c r="A97"/>
      <c r="B97"/>
      <c r="C97"/>
      <c r="D97"/>
      <c r="E97"/>
      <c r="F97"/>
      <c r="G97"/>
      <c r="H97"/>
      <c r="I97"/>
      <c r="J97"/>
      <c r="K97"/>
      <c r="L97"/>
      <c r="M97"/>
      <c r="N97"/>
      <c r="O97"/>
      <c r="P97"/>
      <c r="Q97"/>
      <c r="R97"/>
      <c r="S97"/>
      <c r="T97"/>
      <c r="U97"/>
      <c r="V97"/>
      <c r="W97"/>
    </row>
    <row r="98" spans="1:23" s="1" customFormat="1" ht="34" customHeight="1" x14ac:dyDescent="0.35">
      <c r="A98"/>
      <c r="B98"/>
      <c r="C98"/>
      <c r="D98"/>
      <c r="E98"/>
      <c r="F98"/>
      <c r="G98"/>
      <c r="H98"/>
      <c r="I98"/>
      <c r="J98"/>
      <c r="K98"/>
      <c r="L98"/>
      <c r="M98"/>
      <c r="N98"/>
      <c r="O98"/>
      <c r="P98"/>
      <c r="Q98"/>
      <c r="R98"/>
      <c r="S98"/>
      <c r="T98"/>
      <c r="U98"/>
      <c r="V98"/>
      <c r="W98"/>
    </row>
    <row r="99" spans="1:23" s="1" customFormat="1" ht="34" customHeight="1" x14ac:dyDescent="0.35">
      <c r="A99"/>
      <c r="B99"/>
      <c r="C99"/>
      <c r="D99"/>
      <c r="E99"/>
      <c r="F99"/>
      <c r="G99"/>
      <c r="H99"/>
      <c r="I99"/>
      <c r="J99"/>
      <c r="K99"/>
      <c r="L99"/>
      <c r="M99"/>
      <c r="N99"/>
      <c r="O99"/>
      <c r="P99"/>
      <c r="Q99"/>
      <c r="R99"/>
      <c r="S99"/>
      <c r="T99"/>
      <c r="U99"/>
      <c r="V99"/>
      <c r="W99"/>
    </row>
    <row r="100" spans="1:23" s="1" customFormat="1" ht="34" customHeight="1" x14ac:dyDescent="0.35">
      <c r="A100"/>
      <c r="B100"/>
      <c r="C100"/>
      <c r="D100"/>
      <c r="E100"/>
      <c r="F100"/>
      <c r="G100"/>
      <c r="H100"/>
      <c r="I100"/>
      <c r="J100"/>
      <c r="K100"/>
      <c r="L100"/>
      <c r="M100"/>
      <c r="N100"/>
      <c r="O100"/>
      <c r="P100"/>
      <c r="Q100"/>
      <c r="R100"/>
      <c r="S100"/>
      <c r="T100"/>
      <c r="U100"/>
      <c r="V100"/>
      <c r="W100"/>
    </row>
    <row r="101" spans="1:23" s="1" customFormat="1" ht="34" customHeight="1" x14ac:dyDescent="0.35">
      <c r="A101"/>
      <c r="B101"/>
      <c r="C101"/>
      <c r="D101"/>
      <c r="E101"/>
      <c r="F101"/>
      <c r="G101"/>
      <c r="H101"/>
      <c r="I101"/>
      <c r="J101"/>
      <c r="K101"/>
      <c r="L101"/>
      <c r="M101"/>
      <c r="N101"/>
      <c r="O101"/>
      <c r="P101"/>
      <c r="Q101"/>
      <c r="R101"/>
      <c r="S101"/>
      <c r="T101"/>
      <c r="U101"/>
      <c r="V101"/>
      <c r="W101"/>
    </row>
    <row r="102" spans="1:23" s="1" customFormat="1" ht="34" customHeight="1" x14ac:dyDescent="0.35">
      <c r="A102"/>
      <c r="B102"/>
      <c r="C102"/>
      <c r="D102"/>
      <c r="E102"/>
      <c r="F102"/>
      <c r="G102"/>
      <c r="H102"/>
      <c r="I102"/>
      <c r="J102"/>
      <c r="K102"/>
      <c r="L102"/>
      <c r="M102"/>
      <c r="N102"/>
      <c r="O102"/>
      <c r="P102"/>
      <c r="Q102"/>
      <c r="R102"/>
      <c r="S102"/>
      <c r="T102"/>
      <c r="U102"/>
      <c r="V102"/>
      <c r="W102"/>
    </row>
    <row r="103" spans="1:23" s="1" customFormat="1" ht="34" hidden="1" customHeight="1" x14ac:dyDescent="0.35">
      <c r="A103"/>
      <c r="B103"/>
      <c r="C103"/>
      <c r="D103"/>
      <c r="E103"/>
      <c r="F103"/>
      <c r="G103"/>
      <c r="H103"/>
      <c r="I103"/>
      <c r="J103"/>
      <c r="K103"/>
      <c r="L103"/>
      <c r="M103"/>
      <c r="N103"/>
      <c r="O103"/>
      <c r="P103"/>
      <c r="Q103"/>
      <c r="R103"/>
      <c r="S103"/>
      <c r="T103"/>
      <c r="U103"/>
      <c r="V103"/>
      <c r="W103"/>
    </row>
    <row r="104" spans="1:23" ht="15" customHeight="1" x14ac:dyDescent="0.35"/>
    <row r="105" spans="1:23" ht="15" customHeight="1" x14ac:dyDescent="0.35"/>
    <row r="106" spans="1:23" ht="15" hidden="1" customHeight="1" x14ac:dyDescent="0.35"/>
  </sheetData>
  <mergeCells count="30">
    <mergeCell ref="P3:Q3"/>
    <mergeCell ref="P4:Q4"/>
    <mergeCell ref="P22:Q22"/>
    <mergeCell ref="G5:H5"/>
    <mergeCell ref="N3:O3"/>
    <mergeCell ref="N21:O21"/>
    <mergeCell ref="G16:H16"/>
    <mergeCell ref="N24:O24"/>
    <mergeCell ref="N4:O4"/>
    <mergeCell ref="E3:F3"/>
    <mergeCell ref="G3:H3"/>
    <mergeCell ref="G4:H4"/>
    <mergeCell ref="L3:M3"/>
    <mergeCell ref="L21:M21"/>
    <mergeCell ref="E5:F5"/>
    <mergeCell ref="E16:F16"/>
    <mergeCell ref="J21:K21"/>
    <mergeCell ref="L4:M4"/>
    <mergeCell ref="E4:F4"/>
    <mergeCell ref="J14:M14"/>
    <mergeCell ref="E55:F55"/>
    <mergeCell ref="J23:M23"/>
    <mergeCell ref="J24:K24"/>
    <mergeCell ref="J35:K35"/>
    <mergeCell ref="L35:M35"/>
    <mergeCell ref="E26:F26"/>
    <mergeCell ref="E30:F30"/>
    <mergeCell ref="E38:F38"/>
    <mergeCell ref="E45:F45"/>
    <mergeCell ref="L24:M24"/>
  </mergeCells>
  <phoneticPr fontId="24" type="noConversion"/>
  <pageMargins left="0.511811024" right="0.511811024" top="0.78740157499999996" bottom="0.78740157499999996" header="0.31496062000000002" footer="0.31496062000000002"/>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dimension ref="A1:W166"/>
  <sheetViews>
    <sheetView showGridLines="0" zoomScale="80" zoomScaleNormal="80" workbookViewId="0">
      <pane ySplit="1" topLeftCell="A2" activePane="bottomLeft" state="frozen"/>
      <selection pane="bottomLeft" activeCell="E18" sqref="E18"/>
    </sheetView>
  </sheetViews>
  <sheetFormatPr defaultColWidth="0" defaultRowHeight="14.5" zeroHeight="1" x14ac:dyDescent="0.35"/>
  <cols>
    <col min="1" max="1" width="1.453125" style="10" customWidth="1"/>
    <col min="2" max="2" width="1.6328125" customWidth="1"/>
    <col min="3" max="3" width="14.90625" customWidth="1"/>
    <col min="4" max="4" width="76" customWidth="1"/>
    <col min="5" max="5" width="23.81640625" bestFit="1" customWidth="1"/>
    <col min="6" max="6" width="18.7265625" customWidth="1"/>
    <col min="7" max="7" width="30.08984375" customWidth="1"/>
    <col min="8" max="8" width="18.7265625" customWidth="1"/>
    <col min="9" max="9" width="7.81640625" customWidth="1"/>
    <col min="10" max="10" width="14.90625" customWidth="1"/>
    <col min="11" max="11" width="76" customWidth="1"/>
    <col min="12" max="12" width="28.6328125" bestFit="1" customWidth="1"/>
    <col min="13" max="13" width="19.6328125" bestFit="1" customWidth="1"/>
    <col min="14" max="14" width="29.453125" customWidth="1"/>
    <col min="15" max="15" width="19.6328125" customWidth="1"/>
    <col min="16" max="17" width="20.7265625" customWidth="1"/>
    <col min="18" max="18" width="22.90625" bestFit="1" customWidth="1"/>
    <col min="19" max="23" width="20.7265625" customWidth="1"/>
    <col min="24" max="16384" width="9.1796875" hidden="1"/>
  </cols>
  <sheetData>
    <row r="1" spans="1:18" s="51" customFormat="1" ht="26.5" customHeight="1" x14ac:dyDescent="0.55000000000000004">
      <c r="A1" s="49"/>
      <c r="B1" s="50"/>
      <c r="C1" s="50"/>
    </row>
    <row r="2" spans="1:18" s="51" customFormat="1" ht="24.65" customHeight="1" x14ac:dyDescent="0.35">
      <c r="B2" s="537" t="s">
        <v>1242</v>
      </c>
      <c r="C2" s="52"/>
      <c r="F2"/>
    </row>
    <row r="3" spans="1:18" s="51" customFormat="1" ht="18.649999999999999" customHeight="1" thickBot="1" x14ac:dyDescent="0.5">
      <c r="B3" s="537"/>
      <c r="C3" s="52"/>
      <c r="E3" s="689" t="s">
        <v>1243</v>
      </c>
      <c r="F3" s="689"/>
      <c r="G3" s="689" t="s">
        <v>1244</v>
      </c>
      <c r="H3" s="689"/>
      <c r="L3" s="689" t="s">
        <v>1243</v>
      </c>
      <c r="M3" s="689"/>
      <c r="N3" s="689" t="s">
        <v>1244</v>
      </c>
      <c r="O3" s="689"/>
    </row>
    <row r="4" spans="1:18" ht="30" customHeight="1" thickTop="1" thickBot="1" x14ac:dyDescent="0.4">
      <c r="C4" s="54" t="s">
        <v>151</v>
      </c>
      <c r="D4" s="92" t="s">
        <v>1267</v>
      </c>
      <c r="E4" s="663">
        <f>IF(ISERROR($E$5+$E$15+$E$27+$E$35+$E$50),"",$E$5+$E$15+$E$27+$E$35+$E$50)</f>
        <v>1565093126.4300001</v>
      </c>
      <c r="F4" s="664"/>
      <c r="G4" s="663">
        <f>IF(ISERROR($G$5+$G$15+$G$27+$G$35+$G$50),"",$G$5+$G$15+$G$27+$G$35+$G$50)</f>
        <v>0</v>
      </c>
      <c r="H4" s="664"/>
      <c r="I4" s="98"/>
      <c r="J4" s="97" t="str">
        <f>C4</f>
        <v>1.2</v>
      </c>
      <c r="K4" s="690" t="s">
        <v>1268</v>
      </c>
      <c r="L4" s="691"/>
      <c r="M4" s="692"/>
      <c r="N4" s="681"/>
      <c r="O4" s="682"/>
    </row>
    <row r="5" spans="1:18" ht="30" customHeight="1" thickTop="1" thickBot="1" x14ac:dyDescent="0.4">
      <c r="C5" s="30" t="s">
        <v>153</v>
      </c>
      <c r="D5" s="345" t="s">
        <v>154</v>
      </c>
      <c r="E5" s="667">
        <f>IF(ISERROR(SUM(E6:E14)),"",SUM(E6:E14))</f>
        <v>0</v>
      </c>
      <c r="F5" s="668"/>
      <c r="G5" s="667">
        <f>IF(ISERROR(SUM(G6:G14)),"",SUM(G6:G14))</f>
        <v>0</v>
      </c>
      <c r="H5" s="668"/>
      <c r="J5" s="30" t="str">
        <f>C5</f>
        <v>1.2.1</v>
      </c>
      <c r="K5" s="32" t="str">
        <f>D5</f>
        <v>Existências</v>
      </c>
      <c r="L5" s="99">
        <f>IF(ISERROR($E$5),"",$E$5)</f>
        <v>0</v>
      </c>
      <c r="M5" s="35">
        <f>IF(ISERROR(L5/$P$5),"",L5/$P$5)</f>
        <v>0</v>
      </c>
      <c r="N5" s="99">
        <f>IF(ISERROR($G$5),"",$G$5)</f>
        <v>0</v>
      </c>
      <c r="O5" s="346"/>
      <c r="P5" s="8">
        <f>IF(ISERROR(SUM($L$5:$L$13)),"",SUM($L$5:$L$13))</f>
        <v>1565093126.4300001</v>
      </c>
    </row>
    <row r="6" spans="1:18" ht="30" customHeight="1" thickTop="1" thickBot="1" x14ac:dyDescent="0.4">
      <c r="C6" s="34" t="s">
        <v>155</v>
      </c>
      <c r="D6" s="441" t="s">
        <v>862</v>
      </c>
      <c r="E6" s="342">
        <f>Balancete!F99</f>
        <v>0</v>
      </c>
      <c r="F6" s="35" t="str">
        <f>IF(ISERROR(E6/$E$5),"",E6/$E$5)</f>
        <v/>
      </c>
      <c r="G6" s="342">
        <f>Balancete!G99</f>
        <v>0</v>
      </c>
      <c r="H6" s="334"/>
      <c r="J6" s="30" t="str">
        <f>C15</f>
        <v>1.2.2</v>
      </c>
      <c r="K6" s="32" t="str">
        <f>D15</f>
        <v>Contas a Receber</v>
      </c>
      <c r="L6" s="99">
        <f>IF(ISERROR($E$15),"",$E$15)</f>
        <v>1340212444.23</v>
      </c>
      <c r="M6" s="35">
        <f t="shared" ref="M6:M13" si="0">IF(ISERROR(L6/$P$5),"",L6/$P$5)</f>
        <v>0.85631482344251542</v>
      </c>
      <c r="N6" s="99">
        <f>IF(ISERROR($G$15),"",$G$15)</f>
        <v>0</v>
      </c>
      <c r="O6" s="339"/>
    </row>
    <row r="7" spans="1:18" ht="30" customHeight="1" thickTop="1" thickBot="1" x14ac:dyDescent="0.4">
      <c r="C7" s="34" t="s">
        <v>157</v>
      </c>
      <c r="D7" s="440" t="s">
        <v>871</v>
      </c>
      <c r="E7" s="343">
        <f>Balancete!F105</f>
        <v>0</v>
      </c>
      <c r="F7" s="33" t="str">
        <f t="shared" ref="F7:F14" si="1">IF(ISERROR(E7/$E$5),"",E7/$E$5)</f>
        <v/>
      </c>
      <c r="G7" s="343">
        <f>Balancete!G105</f>
        <v>0</v>
      </c>
      <c r="H7" s="335"/>
      <c r="I7" s="242"/>
      <c r="J7" s="30" t="str">
        <f>C27</f>
        <v>1.2.3</v>
      </c>
      <c r="K7" s="32" t="str">
        <f>D27</f>
        <v>Disponibilidades</v>
      </c>
      <c r="L7" s="99">
        <f>IF(ISERROR($E$27),"",$E$27)</f>
        <v>52657492.650000155</v>
      </c>
      <c r="M7" s="35">
        <f t="shared" si="0"/>
        <v>3.3644958092757492E-2</v>
      </c>
      <c r="N7" s="99">
        <f>IF(ISERROR($G$27),"",$G$27)</f>
        <v>0</v>
      </c>
      <c r="O7" s="339"/>
      <c r="R7" s="70"/>
    </row>
    <row r="8" spans="1:18" ht="30" customHeight="1" thickTop="1" thickBot="1" x14ac:dyDescent="0.4">
      <c r="C8" s="34" t="s">
        <v>159</v>
      </c>
      <c r="D8" s="441" t="s">
        <v>874</v>
      </c>
      <c r="E8" s="344">
        <f>Balancete!F130</f>
        <v>0</v>
      </c>
      <c r="F8" s="33" t="str">
        <f t="shared" si="1"/>
        <v/>
      </c>
      <c r="G8" s="344">
        <f>Balancete!G130</f>
        <v>0</v>
      </c>
      <c r="H8" s="335"/>
      <c r="J8" s="30" t="str">
        <f>C35</f>
        <v>1.2.4</v>
      </c>
      <c r="K8" s="32" t="str">
        <f>D35</f>
        <v>Outros activos correntes</v>
      </c>
      <c r="L8" s="99">
        <f>IF(ISERROR($E$35),"",$E$35)</f>
        <v>172223189.54999998</v>
      </c>
      <c r="M8" s="35">
        <f t="shared" si="0"/>
        <v>0.11004021846472711</v>
      </c>
      <c r="N8" s="99">
        <f>IF(ISERROR($G$35),"",$G$35)</f>
        <v>0</v>
      </c>
      <c r="O8" s="339"/>
      <c r="R8" s="70"/>
    </row>
    <row r="9" spans="1:18" ht="30" customHeight="1" thickTop="1" thickBot="1" x14ac:dyDescent="0.4">
      <c r="C9" s="34" t="s">
        <v>161</v>
      </c>
      <c r="D9" s="441" t="s">
        <v>878</v>
      </c>
      <c r="E9" s="344">
        <f>Balancete!F112</f>
        <v>0</v>
      </c>
      <c r="F9" s="33" t="str">
        <f t="shared" si="1"/>
        <v/>
      </c>
      <c r="G9" s="344">
        <f>Balancete!G112</f>
        <v>0</v>
      </c>
      <c r="H9" s="335"/>
      <c r="J9" s="30" t="str">
        <f>C40</f>
        <v>1.2.5</v>
      </c>
      <c r="K9" s="32" t="str">
        <f>D40</f>
        <v>Estado</v>
      </c>
      <c r="L9" s="99">
        <v>0</v>
      </c>
      <c r="M9" s="35">
        <f t="shared" si="0"/>
        <v>0</v>
      </c>
      <c r="N9" s="99">
        <v>0</v>
      </c>
      <c r="O9" s="339"/>
    </row>
    <row r="10" spans="1:18" ht="30" customHeight="1" thickTop="1" thickBot="1" x14ac:dyDescent="0.4">
      <c r="C10" s="34" t="s">
        <v>163</v>
      </c>
      <c r="D10" s="440" t="s">
        <v>1269</v>
      </c>
      <c r="E10" s="343">
        <f>Balancete!F115</f>
        <v>0</v>
      </c>
      <c r="F10" s="315" t="str">
        <f t="shared" si="1"/>
        <v/>
      </c>
      <c r="G10" s="343">
        <f>Balancete!G115</f>
        <v>0</v>
      </c>
      <c r="H10" s="335"/>
      <c r="J10" s="30"/>
      <c r="K10" s="32"/>
      <c r="L10" s="99">
        <f>IF(ISERROR($E$50),"",$E$50)</f>
        <v>0</v>
      </c>
      <c r="M10" s="35">
        <f t="shared" si="0"/>
        <v>0</v>
      </c>
      <c r="N10" s="99">
        <f>IF(ISERROR($G$50),"",$G$50)</f>
        <v>0</v>
      </c>
      <c r="O10" s="339"/>
      <c r="R10" s="70"/>
    </row>
    <row r="11" spans="1:18" ht="30" customHeight="1" thickTop="1" thickBot="1" x14ac:dyDescent="0.4">
      <c r="C11" s="34" t="s">
        <v>165</v>
      </c>
      <c r="D11" s="441" t="s">
        <v>1270</v>
      </c>
      <c r="E11" s="342">
        <f>Balancete!F119</f>
        <v>0</v>
      </c>
      <c r="F11" s="35" t="str">
        <f t="shared" si="1"/>
        <v/>
      </c>
      <c r="G11" s="342">
        <f>Balancete!G119</f>
        <v>0</v>
      </c>
      <c r="H11" s="335"/>
      <c r="J11" s="30"/>
      <c r="K11" s="32"/>
      <c r="L11" s="99" t="str">
        <f>IF(ISERROR(#REF!),"",#REF!)</f>
        <v/>
      </c>
      <c r="M11" s="35" t="str">
        <f t="shared" si="0"/>
        <v/>
      </c>
      <c r="N11" s="99" t="str">
        <f>IF(ISERROR(#REF!),"",#REF!)</f>
        <v/>
      </c>
      <c r="O11" s="339"/>
    </row>
    <row r="12" spans="1:18" ht="30" customHeight="1" thickTop="1" thickBot="1" x14ac:dyDescent="0.4">
      <c r="C12" s="34" t="s">
        <v>167</v>
      </c>
      <c r="D12" s="326" t="s">
        <v>1271</v>
      </c>
      <c r="E12" s="344">
        <f>Balancete!F123</f>
        <v>0</v>
      </c>
      <c r="F12" s="33" t="str">
        <f t="shared" si="1"/>
        <v/>
      </c>
      <c r="G12" s="344">
        <f>Balancete!G123</f>
        <v>0</v>
      </c>
      <c r="H12" s="336"/>
      <c r="J12" s="30"/>
      <c r="K12" s="32"/>
      <c r="L12" s="99" t="str">
        <f>IF(ISERROR(#REF!),"",#REF!)</f>
        <v/>
      </c>
      <c r="M12" s="33" t="str">
        <f t="shared" si="0"/>
        <v/>
      </c>
      <c r="N12" s="99" t="str">
        <f>IF(ISERROR(#REF!),"",#REF!)</f>
        <v/>
      </c>
      <c r="O12" s="339"/>
    </row>
    <row r="13" spans="1:18" ht="30" customHeight="1" thickTop="1" thickBot="1" x14ac:dyDescent="0.4">
      <c r="C13" s="34" t="s">
        <v>169</v>
      </c>
      <c r="D13" s="326" t="s">
        <v>1272</v>
      </c>
      <c r="E13" s="344">
        <f>Balancete!F126</f>
        <v>0</v>
      </c>
      <c r="F13" s="33" t="str">
        <f t="shared" si="1"/>
        <v/>
      </c>
      <c r="G13" s="344">
        <f>Balancete!G126</f>
        <v>0</v>
      </c>
      <c r="H13" s="335"/>
      <c r="J13" s="30"/>
      <c r="K13" s="32"/>
      <c r="L13" s="99" t="str">
        <f>IF(ISERROR(#REF!),"",#REF!)</f>
        <v/>
      </c>
      <c r="M13" s="35" t="str">
        <f t="shared" si="0"/>
        <v/>
      </c>
      <c r="N13" s="99" t="str">
        <f>IF(ISERROR(#REF!),"",#REF!)</f>
        <v/>
      </c>
      <c r="O13" s="346"/>
    </row>
    <row r="14" spans="1:18" ht="30" customHeight="1" thickTop="1" thickBot="1" x14ac:dyDescent="0.4">
      <c r="C14" s="34" t="s">
        <v>1273</v>
      </c>
      <c r="D14" s="325"/>
      <c r="E14" s="343"/>
      <c r="F14" s="33" t="str">
        <f t="shared" si="1"/>
        <v/>
      </c>
      <c r="G14" s="343"/>
      <c r="H14" s="334"/>
      <c r="O14" s="244"/>
    </row>
    <row r="15" spans="1:18" ht="30" customHeight="1" thickTop="1" thickBot="1" x14ac:dyDescent="0.4">
      <c r="C15" s="30" t="s">
        <v>171</v>
      </c>
      <c r="D15" s="94" t="s">
        <v>1274</v>
      </c>
      <c r="E15" s="667">
        <f>IF(ISERROR(SUM(E16:E26)),"",SUM(E16:E26))</f>
        <v>1340212444.23</v>
      </c>
      <c r="F15" s="668"/>
      <c r="G15" s="667">
        <f>IF(ISERROR(SUM(G16:G26)),"",SUM(G16:G26))</f>
        <v>0</v>
      </c>
      <c r="H15" s="668"/>
      <c r="J15" s="683" t="s">
        <v>1275</v>
      </c>
      <c r="K15" s="684"/>
      <c r="L15" s="684"/>
      <c r="M15" s="685"/>
      <c r="N15" s="681"/>
      <c r="O15" s="682"/>
    </row>
    <row r="16" spans="1:18" ht="30" customHeight="1" thickTop="1" thickBot="1" x14ac:dyDescent="0.4">
      <c r="C16" s="34" t="s">
        <v>173</v>
      </c>
      <c r="D16" s="439" t="s">
        <v>1276</v>
      </c>
      <c r="E16" s="442">
        <f>Balancete!F135</f>
        <v>371898369.01999998</v>
      </c>
      <c r="F16" s="91">
        <f>IF(ISERROR(E16/$E$15),"",E16/$E$15)</f>
        <v>0.27749210255518025</v>
      </c>
      <c r="G16" s="442">
        <f>Balancete!G135</f>
        <v>0</v>
      </c>
      <c r="H16" s="252"/>
      <c r="J16" s="30" t="str">
        <f>J5</f>
        <v>1.2.1</v>
      </c>
      <c r="K16" s="32" t="str">
        <f>K5</f>
        <v>Existências</v>
      </c>
      <c r="L16" s="99">
        <f>IF(ISERROR($E$5),"",$E$5)</f>
        <v>0</v>
      </c>
      <c r="M16" s="35">
        <f>IF(ISERROR(L16/$L$19),"",L16/$L$19)</f>
        <v>0</v>
      </c>
      <c r="N16" s="99">
        <f>IF(ISERROR($G$5),"",$G$5)</f>
        <v>0</v>
      </c>
      <c r="O16" s="335"/>
    </row>
    <row r="17" spans="3:19" ht="30" customHeight="1" thickTop="1" thickBot="1" x14ac:dyDescent="0.4">
      <c r="C17" s="34" t="s">
        <v>176</v>
      </c>
      <c r="D17" s="443" t="s">
        <v>1008</v>
      </c>
      <c r="E17" s="317">
        <f>Balancete!F136</f>
        <v>0</v>
      </c>
      <c r="F17" s="91">
        <f t="shared" ref="F17:F25" si="2">IF(ISERROR(E17/$E$15),"",E17/$E$15)</f>
        <v>0</v>
      </c>
      <c r="G17" s="317">
        <f>Balancete!G136</f>
        <v>0</v>
      </c>
      <c r="H17" s="255"/>
      <c r="J17" s="30" t="str">
        <f>J6</f>
        <v>1.2.2</v>
      </c>
      <c r="K17" s="32" t="str">
        <f>K6</f>
        <v>Contas a Receber</v>
      </c>
      <c r="L17" s="99">
        <f>IF(ISERROR($E$15),"",$E$15)</f>
        <v>1340212444.23</v>
      </c>
      <c r="M17" s="35">
        <f>IF(ISERROR(L17/$L$19),"",L17/$L$19)</f>
        <v>0.96219496791785752</v>
      </c>
      <c r="N17" s="99">
        <f>IF(ISERROR($G$15),"",$G$15)</f>
        <v>0</v>
      </c>
      <c r="O17" s="335"/>
      <c r="Q17" s="70"/>
      <c r="R17" s="70"/>
      <c r="S17" s="71"/>
    </row>
    <row r="18" spans="3:19" ht="30" customHeight="1" thickTop="1" thickBot="1" x14ac:dyDescent="0.4">
      <c r="C18" s="34" t="s">
        <v>179</v>
      </c>
      <c r="D18" s="440" t="s">
        <v>899</v>
      </c>
      <c r="E18" s="433">
        <f>Balancete!F138</f>
        <v>242836783.86000001</v>
      </c>
      <c r="F18" s="91">
        <f t="shared" si="2"/>
        <v>0.18119275410811339</v>
      </c>
      <c r="G18" s="433">
        <f>Balancete!G138</f>
        <v>0</v>
      </c>
      <c r="H18" s="249"/>
      <c r="J18" s="30" t="str">
        <f>J7</f>
        <v>1.2.3</v>
      </c>
      <c r="K18" s="32" t="str">
        <f>D27</f>
        <v>Disponibilidades</v>
      </c>
      <c r="L18" s="99">
        <f>IF(ISERROR($E$27),"",$E$27)</f>
        <v>52657492.650000155</v>
      </c>
      <c r="M18" s="35">
        <f t="shared" ref="M18" si="3">IF(ISERROR(L18/$L$19),"",L18/$L$19)</f>
        <v>3.7805032082142469E-2</v>
      </c>
      <c r="N18" s="99">
        <f>IF(ISERROR($G$27),"",$G$27)</f>
        <v>0</v>
      </c>
      <c r="O18" s="335"/>
      <c r="Q18" s="70"/>
      <c r="R18" s="70"/>
    </row>
    <row r="19" spans="3:19" ht="30" customHeight="1" thickTop="1" thickBot="1" x14ac:dyDescent="0.4">
      <c r="C19" s="34" t="s">
        <v>182</v>
      </c>
      <c r="D19" s="440" t="s">
        <v>1277</v>
      </c>
      <c r="E19" s="317">
        <f>Balancete!F144</f>
        <v>263435828.42000008</v>
      </c>
      <c r="F19" s="91">
        <f t="shared" si="2"/>
        <v>0.19656273865696972</v>
      </c>
      <c r="G19" s="317">
        <f>Balancete!G144</f>
        <v>0</v>
      </c>
      <c r="H19" s="249"/>
      <c r="J19" s="688" t="s">
        <v>1253</v>
      </c>
      <c r="K19" s="688"/>
      <c r="L19" s="665">
        <f>IF(ISERROR(SUM($L$16:$L$18)),"",SUM($L$16:$L$18))</f>
        <v>1392869936.8800001</v>
      </c>
      <c r="M19" s="666"/>
      <c r="N19" s="665">
        <f>IF(ISERROR(SUM($N$16:$N$18)),"",SUM($N$16:$N$18))</f>
        <v>0</v>
      </c>
      <c r="O19" s="666"/>
      <c r="Q19" s="70"/>
      <c r="R19" s="70"/>
    </row>
    <row r="20" spans="3:19" ht="30" customHeight="1" thickTop="1" thickBot="1" x14ac:dyDescent="0.4">
      <c r="C20" s="34" t="s">
        <v>185</v>
      </c>
      <c r="D20" s="440" t="s">
        <v>916</v>
      </c>
      <c r="E20" s="318">
        <f>E40</f>
        <v>648836248.93000007</v>
      </c>
      <c r="F20" s="91">
        <f t="shared" si="2"/>
        <v>0.48412940181493369</v>
      </c>
      <c r="G20" s="318">
        <f>G40</f>
        <v>0</v>
      </c>
      <c r="H20" s="337"/>
      <c r="O20" s="244"/>
      <c r="Q20" s="70"/>
    </row>
    <row r="21" spans="3:19" ht="30" customHeight="1" thickTop="1" thickBot="1" x14ac:dyDescent="0.4">
      <c r="C21" s="34" t="s">
        <v>187</v>
      </c>
      <c r="D21" s="440" t="s">
        <v>1278</v>
      </c>
      <c r="E21" s="317">
        <f>Balancete!F177</f>
        <v>0</v>
      </c>
      <c r="F21" s="91">
        <f t="shared" si="2"/>
        <v>0</v>
      </c>
      <c r="G21" s="317">
        <f>Balancete!G177</f>
        <v>0</v>
      </c>
      <c r="H21" s="249"/>
      <c r="J21" s="683" t="s">
        <v>1279</v>
      </c>
      <c r="K21" s="684"/>
      <c r="L21" s="684"/>
      <c r="M21" s="685"/>
      <c r="N21" s="681"/>
      <c r="O21" s="682"/>
      <c r="P21" s="65"/>
    </row>
    <row r="22" spans="3:19" ht="30" customHeight="1" thickTop="1" thickBot="1" x14ac:dyDescent="0.4">
      <c r="C22" s="34" t="s">
        <v>189</v>
      </c>
      <c r="D22" s="440" t="s">
        <v>954</v>
      </c>
      <c r="E22" s="319">
        <f>Balancete!F180</f>
        <v>56041997.869999886</v>
      </c>
      <c r="F22" s="235">
        <f t="shared" si="2"/>
        <v>4.1815756980377851E-2</v>
      </c>
      <c r="G22" s="319">
        <f>Balancete!G190+Balancete!G184</f>
        <v>0</v>
      </c>
      <c r="H22" s="249"/>
      <c r="J22" s="688" t="s">
        <v>1253</v>
      </c>
      <c r="K22" s="688"/>
      <c r="L22" s="686">
        <f>IF(ISERROR(SUM($L$5:$L$13)),"",SUM($L$5:$L$13))</f>
        <v>1565093126.4300001</v>
      </c>
      <c r="M22" s="687"/>
      <c r="N22" s="686">
        <f>IF(ISERROR(SUM($N$5:$N$13)),"",SUM($N$5:$N$13))</f>
        <v>0</v>
      </c>
      <c r="O22" s="687"/>
      <c r="Q22" s="70"/>
    </row>
    <row r="23" spans="3:19" ht="30" customHeight="1" thickTop="1" thickBot="1" x14ac:dyDescent="0.4">
      <c r="C23" s="34" t="s">
        <v>191</v>
      </c>
      <c r="D23" s="440" t="s">
        <v>1280</v>
      </c>
      <c r="E23" s="320">
        <f>Balancete!F196</f>
        <v>0</v>
      </c>
      <c r="F23" s="91">
        <f t="shared" si="2"/>
        <v>0</v>
      </c>
      <c r="G23" s="320">
        <f>Balancete!G196</f>
        <v>0</v>
      </c>
      <c r="H23" s="249"/>
      <c r="Q23" s="70"/>
    </row>
    <row r="24" spans="3:19" ht="30" customHeight="1" thickTop="1" thickBot="1" x14ac:dyDescent="0.4">
      <c r="C24" s="34" t="s">
        <v>194</v>
      </c>
      <c r="D24" s="440" t="s">
        <v>1281</v>
      </c>
      <c r="E24" s="321">
        <v>0</v>
      </c>
      <c r="F24" s="91">
        <f t="shared" si="2"/>
        <v>0</v>
      </c>
      <c r="G24" s="321">
        <v>0</v>
      </c>
      <c r="H24" s="249"/>
      <c r="Q24" s="70"/>
    </row>
    <row r="25" spans="3:19" ht="30" customHeight="1" thickTop="1" thickBot="1" x14ac:dyDescent="0.4">
      <c r="C25" s="34" t="s">
        <v>196</v>
      </c>
      <c r="D25" s="440" t="s">
        <v>1005</v>
      </c>
      <c r="E25" s="322">
        <f>Balancete!F226</f>
        <v>-242836783.87</v>
      </c>
      <c r="F25" s="91">
        <f t="shared" si="2"/>
        <v>-0.18119275411557487</v>
      </c>
      <c r="G25" s="322">
        <f>Balancete!G226</f>
        <v>0</v>
      </c>
      <c r="H25" s="249"/>
      <c r="M25" s="74"/>
      <c r="N25" s="74"/>
      <c r="O25" s="74"/>
      <c r="Q25" s="70"/>
    </row>
    <row r="26" spans="3:19" ht="30" customHeight="1" thickTop="1" thickBot="1" x14ac:dyDescent="0.4">
      <c r="C26" s="34"/>
      <c r="D26" s="440"/>
      <c r="E26" s="316"/>
      <c r="F26" s="91"/>
      <c r="G26" s="255"/>
      <c r="H26" s="255"/>
      <c r="Q26" s="70"/>
    </row>
    <row r="27" spans="3:19" ht="30" customHeight="1" thickTop="1" thickBot="1" x14ac:dyDescent="0.4">
      <c r="C27" s="89" t="s">
        <v>208</v>
      </c>
      <c r="D27" s="90" t="s">
        <v>209</v>
      </c>
      <c r="E27" s="680">
        <f>IF(ISERROR(SUM(E28:E34)),"",SUM(E28:E34))</f>
        <v>52657492.650000155</v>
      </c>
      <c r="F27" s="654"/>
      <c r="G27" s="680">
        <f>IF(ISERROR(SUM(G28:G34)),"",SUM(G28:G34))</f>
        <v>0</v>
      </c>
      <c r="H27" s="654"/>
      <c r="M27" s="70"/>
      <c r="N27" s="70"/>
      <c r="O27" s="70"/>
      <c r="Q27" s="70"/>
    </row>
    <row r="28" spans="3:19" ht="30" customHeight="1" thickTop="1" thickBot="1" x14ac:dyDescent="0.4">
      <c r="C28" s="34" t="s">
        <v>210</v>
      </c>
      <c r="D28" s="444" t="s">
        <v>211</v>
      </c>
      <c r="E28" s="332">
        <f>Balancete!F245</f>
        <v>0</v>
      </c>
      <c r="F28" s="35">
        <f>IF(ISERROR(E28/$E$27),"",E28/$E$27)</f>
        <v>0</v>
      </c>
      <c r="G28" s="332">
        <f>Balancete!G245</f>
        <v>0</v>
      </c>
      <c r="H28" s="338"/>
      <c r="Q28" s="72"/>
    </row>
    <row r="29" spans="3:19" ht="30" customHeight="1" thickTop="1" thickBot="1" x14ac:dyDescent="0.4">
      <c r="C29" s="34" t="s">
        <v>212</v>
      </c>
      <c r="D29" s="445" t="s">
        <v>1282</v>
      </c>
      <c r="E29" s="319">
        <f>Balancete!F249</f>
        <v>2400000</v>
      </c>
      <c r="F29" s="315">
        <f t="shared" ref="F29:F34" si="4">IF(ISERROR(E29/$E$27),"",E29/$E$27)</f>
        <v>4.5577559416893218E-2</v>
      </c>
      <c r="G29" s="319">
        <f>Balancete!G249</f>
        <v>0</v>
      </c>
      <c r="H29" s="339"/>
      <c r="Q29" s="70"/>
    </row>
    <row r="30" spans="3:19" ht="30" customHeight="1" thickTop="1" thickBot="1" x14ac:dyDescent="0.4">
      <c r="C30" s="34" t="s">
        <v>220</v>
      </c>
      <c r="D30" s="445" t="s">
        <v>1283</v>
      </c>
      <c r="E30" s="332">
        <f>Balancete!F252</f>
        <v>49104474.090000153</v>
      </c>
      <c r="F30" s="35">
        <f t="shared" si="4"/>
        <v>0.93252586894678147</v>
      </c>
      <c r="G30" s="332">
        <f>Balancete!G252</f>
        <v>0</v>
      </c>
      <c r="H30" s="340"/>
    </row>
    <row r="31" spans="3:19" ht="30" customHeight="1" thickTop="1" thickBot="1" x14ac:dyDescent="0.4">
      <c r="C31" s="34" t="s">
        <v>222</v>
      </c>
      <c r="D31" s="445" t="s">
        <v>221</v>
      </c>
      <c r="E31" s="332">
        <f>Balancete!F255</f>
        <v>1153018.5600000024</v>
      </c>
      <c r="F31" s="35">
        <f t="shared" si="4"/>
        <v>2.1896571636325319E-2</v>
      </c>
      <c r="G31" s="332">
        <f>Balancete!G255</f>
        <v>0</v>
      </c>
      <c r="H31" s="338"/>
    </row>
    <row r="32" spans="3:19" ht="30" customHeight="1" thickTop="1" thickBot="1" x14ac:dyDescent="0.4">
      <c r="C32" s="34" t="s">
        <v>224</v>
      </c>
      <c r="D32" s="445" t="s">
        <v>225</v>
      </c>
      <c r="E32" s="332">
        <f>Balancete!F264</f>
        <v>0</v>
      </c>
      <c r="F32" s="35">
        <f t="shared" si="4"/>
        <v>0</v>
      </c>
      <c r="G32" s="332">
        <f>Balancete!G264</f>
        <v>0</v>
      </c>
      <c r="H32" s="339"/>
    </row>
    <row r="33" spans="3:17" ht="30" customHeight="1" thickTop="1" thickBot="1" x14ac:dyDescent="0.4">
      <c r="C33" s="34" t="s">
        <v>1284</v>
      </c>
      <c r="D33" s="333" t="s">
        <v>1285</v>
      </c>
      <c r="E33" s="332">
        <f>Balancete!F261</f>
        <v>0</v>
      </c>
      <c r="F33" s="35">
        <f t="shared" si="4"/>
        <v>0</v>
      </c>
      <c r="G33" s="332">
        <f>Balancete!G261</f>
        <v>0</v>
      </c>
      <c r="H33" s="339"/>
      <c r="P33" s="70"/>
      <c r="Q33" s="70"/>
    </row>
    <row r="34" spans="3:17" ht="30" customHeight="1" thickTop="1" thickBot="1" x14ac:dyDescent="0.4">
      <c r="C34" s="34" t="s">
        <v>1286</v>
      </c>
      <c r="D34" s="331"/>
      <c r="E34" s="332"/>
      <c r="F34" s="33">
        <f t="shared" si="4"/>
        <v>0</v>
      </c>
      <c r="G34" s="335"/>
      <c r="H34" s="335"/>
      <c r="P34" s="70"/>
      <c r="Q34" s="70"/>
    </row>
    <row r="35" spans="3:17" ht="30" customHeight="1" thickTop="1" thickBot="1" x14ac:dyDescent="0.4">
      <c r="C35" s="89" t="s">
        <v>226</v>
      </c>
      <c r="D35" s="90" t="s">
        <v>227</v>
      </c>
      <c r="E35" s="676">
        <f>IF(ISERROR(SUM(E36:E39)),"",SUM(E36:E39))</f>
        <v>172223189.54999998</v>
      </c>
      <c r="F35" s="677"/>
      <c r="G35" s="676">
        <f>IF(ISERROR(SUM(G36:G39)),"",SUM(G36:G39))</f>
        <v>0</v>
      </c>
      <c r="H35" s="677"/>
      <c r="J35" t="s">
        <v>1786</v>
      </c>
      <c r="P35" s="70"/>
      <c r="Q35" s="70"/>
    </row>
    <row r="36" spans="3:17" ht="30" customHeight="1" thickTop="1" thickBot="1" x14ac:dyDescent="0.4">
      <c r="C36" s="34" t="s">
        <v>228</v>
      </c>
      <c r="D36" s="440" t="s">
        <v>988</v>
      </c>
      <c r="E36" s="327">
        <f>Balancete!F207</f>
        <v>165232974.50999999</v>
      </c>
      <c r="F36" s="35">
        <f>IF(ISERROR(E36/$E$35),"",E36/$E$35)</f>
        <v>0.95941188257943288</v>
      </c>
      <c r="G36" s="327">
        <v>0</v>
      </c>
      <c r="H36" s="339"/>
    </row>
    <row r="37" spans="3:17" ht="30" customHeight="1" thickTop="1" thickBot="1" x14ac:dyDescent="0.4">
      <c r="C37" s="34" t="s">
        <v>231</v>
      </c>
      <c r="D37" s="440" t="s">
        <v>1287</v>
      </c>
      <c r="E37" s="324"/>
      <c r="F37" s="35">
        <f t="shared" ref="F37:F39" si="5">IF(ISERROR(E37/$E$35),"",E37/$E$35)</f>
        <v>0</v>
      </c>
      <c r="G37" s="324">
        <f>Balancete!G204</f>
        <v>0</v>
      </c>
      <c r="H37" s="338"/>
    </row>
    <row r="38" spans="3:17" ht="30" customHeight="1" thickTop="1" thickBot="1" x14ac:dyDescent="0.4">
      <c r="C38" s="34" t="s">
        <v>234</v>
      </c>
      <c r="D38" s="326" t="s">
        <v>1785</v>
      </c>
      <c r="E38" s="328">
        <f>Balancete!F211</f>
        <v>6990215.0399999991</v>
      </c>
      <c r="F38" s="33">
        <f t="shared" si="5"/>
        <v>4.0588117420567185E-2</v>
      </c>
      <c r="G38" s="335"/>
      <c r="H38" s="339"/>
    </row>
    <row r="39" spans="3:17" ht="30" customHeight="1" thickTop="1" thickBot="1" x14ac:dyDescent="0.4">
      <c r="C39" s="34" t="s">
        <v>1288</v>
      </c>
      <c r="D39" s="326"/>
      <c r="E39" s="329"/>
      <c r="F39" s="35">
        <f t="shared" si="5"/>
        <v>0</v>
      </c>
      <c r="G39" s="335"/>
      <c r="H39" s="339"/>
    </row>
    <row r="40" spans="3:17" ht="30" customHeight="1" thickTop="1" thickBot="1" x14ac:dyDescent="0.4">
      <c r="C40" s="89" t="s">
        <v>1289</v>
      </c>
      <c r="D40" s="90" t="s">
        <v>916</v>
      </c>
      <c r="E40" s="676">
        <f>IF(ISERROR(SUM(E41:E49)),"",SUM(E41:E49))</f>
        <v>648836248.93000007</v>
      </c>
      <c r="F40" s="677"/>
      <c r="G40" s="676">
        <f>IF(ISERROR(SUM(G41:G49)),"",SUM(G41:G49))</f>
        <v>0</v>
      </c>
      <c r="H40" s="677"/>
    </row>
    <row r="41" spans="3:17" ht="30" customHeight="1" thickTop="1" thickBot="1" x14ac:dyDescent="0.4">
      <c r="C41" s="34"/>
      <c r="D41" s="326" t="s">
        <v>1290</v>
      </c>
      <c r="E41" s="332">
        <f>Balancete!F152</f>
        <v>648836248.93000007</v>
      </c>
      <c r="F41" s="35"/>
      <c r="G41" s="332">
        <v>0</v>
      </c>
      <c r="H41" s="341"/>
    </row>
    <row r="42" spans="3:17" ht="30" customHeight="1" thickTop="1" thickBot="1" x14ac:dyDescent="0.4">
      <c r="C42" s="34"/>
      <c r="D42" s="326" t="s">
        <v>1106</v>
      </c>
      <c r="E42" s="329">
        <f>Balancete!F158</f>
        <v>0</v>
      </c>
      <c r="F42" s="315"/>
      <c r="G42" s="329">
        <f>Balancete!G158</f>
        <v>0</v>
      </c>
      <c r="H42" s="338"/>
    </row>
    <row r="43" spans="3:17" ht="30" customHeight="1" thickTop="1" thickBot="1" x14ac:dyDescent="0.4">
      <c r="C43" s="34"/>
      <c r="D43" s="326" t="s">
        <v>1291</v>
      </c>
      <c r="E43" s="329">
        <f>Balancete!F168</f>
        <v>0</v>
      </c>
      <c r="F43" s="35"/>
      <c r="G43" s="329">
        <f>Balancete!G168</f>
        <v>0</v>
      </c>
      <c r="H43" s="339"/>
    </row>
    <row r="44" spans="3:17" ht="30" customHeight="1" thickTop="1" thickBot="1" x14ac:dyDescent="0.4">
      <c r="C44" s="34"/>
      <c r="D44" s="326" t="s">
        <v>946</v>
      </c>
      <c r="E44" s="329"/>
      <c r="F44" s="33"/>
      <c r="G44" s="329"/>
      <c r="H44" s="339"/>
    </row>
    <row r="45" spans="3:17" ht="30" customHeight="1" thickTop="1" thickBot="1" x14ac:dyDescent="0.4">
      <c r="C45" s="34"/>
      <c r="D45" s="331"/>
      <c r="E45" s="319"/>
      <c r="F45" s="35"/>
      <c r="G45" s="334"/>
      <c r="H45" s="338"/>
    </row>
    <row r="46" spans="3:17" ht="30" customHeight="1" thickTop="1" thickBot="1" x14ac:dyDescent="0.4">
      <c r="C46" s="34"/>
      <c r="D46" s="326"/>
      <c r="E46" s="329"/>
      <c r="F46" s="35"/>
      <c r="G46" s="334"/>
      <c r="H46" s="338"/>
    </row>
    <row r="47" spans="3:17" ht="30" customHeight="1" thickTop="1" thickBot="1" x14ac:dyDescent="0.4">
      <c r="C47" s="34"/>
      <c r="D47" s="326"/>
      <c r="E47" s="329"/>
      <c r="F47" s="35"/>
      <c r="G47" s="334"/>
      <c r="H47" s="338"/>
    </row>
    <row r="48" spans="3:17" ht="30" customHeight="1" thickTop="1" thickBot="1" x14ac:dyDescent="0.4">
      <c r="C48" s="34"/>
      <c r="D48" s="326"/>
      <c r="E48" s="329"/>
      <c r="F48" s="35"/>
      <c r="G48" s="334"/>
      <c r="H48" s="338"/>
      <c r="P48" s="65"/>
    </row>
    <row r="49" spans="3:8" ht="30" customHeight="1" thickTop="1" thickBot="1" x14ac:dyDescent="0.4">
      <c r="C49" s="34"/>
      <c r="D49" s="330"/>
      <c r="E49" s="316"/>
      <c r="F49" s="35"/>
      <c r="G49" s="334"/>
      <c r="H49" s="338"/>
    </row>
    <row r="50" spans="3:8" ht="30" customHeight="1" thickTop="1" thickBot="1" x14ac:dyDescent="0.4">
      <c r="C50" s="30"/>
      <c r="D50" s="36"/>
      <c r="E50" s="678"/>
      <c r="F50" s="679"/>
      <c r="G50" s="284"/>
      <c r="H50" s="284"/>
    </row>
    <row r="51" spans="3:8" ht="34" customHeight="1" thickTop="1" x14ac:dyDescent="0.35"/>
    <row r="52" spans="3:8" ht="34" customHeight="1" x14ac:dyDescent="0.35"/>
    <row r="53" spans="3:8" ht="34" customHeight="1" x14ac:dyDescent="0.35"/>
    <row r="54" spans="3:8" ht="34" customHeight="1" x14ac:dyDescent="0.35"/>
    <row r="55" spans="3:8" ht="34" customHeight="1" x14ac:dyDescent="0.35"/>
    <row r="56" spans="3:8" ht="34" customHeight="1" x14ac:dyDescent="0.35"/>
    <row r="57" spans="3:8" ht="34" customHeight="1" x14ac:dyDescent="0.35"/>
    <row r="58" spans="3:8" ht="34" customHeight="1" x14ac:dyDescent="0.35"/>
    <row r="59" spans="3:8" ht="34" customHeight="1" x14ac:dyDescent="0.35"/>
    <row r="60" spans="3:8" ht="34" customHeight="1" x14ac:dyDescent="0.35"/>
    <row r="61" spans="3:8" ht="34" customHeight="1" x14ac:dyDescent="0.35"/>
    <row r="62" spans="3:8" ht="34" customHeight="1" x14ac:dyDescent="0.35"/>
    <row r="63" spans="3:8" ht="34" customHeight="1" x14ac:dyDescent="0.35"/>
    <row r="64" spans="3:8" ht="34" customHeight="1" x14ac:dyDescent="0.35"/>
    <row r="65" ht="34" customHeight="1" x14ac:dyDescent="0.35"/>
    <row r="66" ht="34" customHeight="1" x14ac:dyDescent="0.35"/>
    <row r="67" ht="34" customHeight="1" x14ac:dyDescent="0.35"/>
    <row r="68" ht="34" customHeight="1" x14ac:dyDescent="0.35"/>
    <row r="69" ht="34" customHeight="1" x14ac:dyDescent="0.35"/>
    <row r="70" ht="34" customHeight="1" x14ac:dyDescent="0.35"/>
    <row r="71" ht="34" customHeight="1" x14ac:dyDescent="0.35"/>
    <row r="72" ht="34" customHeight="1" x14ac:dyDescent="0.35"/>
    <row r="73" ht="34" hidden="1" customHeight="1" x14ac:dyDescent="0.35"/>
    <row r="74" x14ac:dyDescent="0.35"/>
    <row r="75" x14ac:dyDescent="0.35"/>
    <row r="76" x14ac:dyDescent="0.35"/>
    <row r="77" x14ac:dyDescent="0.35"/>
    <row r="78" x14ac:dyDescent="0.35"/>
    <row r="79" x14ac:dyDescent="0.35"/>
    <row r="80" x14ac:dyDescent="0.35"/>
    <row r="81" x14ac:dyDescent="0.35"/>
    <row r="82" x14ac:dyDescent="0.35"/>
    <row r="83" x14ac:dyDescent="0.35"/>
    <row r="84" x14ac:dyDescent="0.35"/>
    <row r="85" x14ac:dyDescent="0.35"/>
    <row r="86" x14ac:dyDescent="0.35"/>
    <row r="87" x14ac:dyDescent="0.35"/>
    <row r="88" x14ac:dyDescent="0.35"/>
    <row r="89" x14ac:dyDescent="0.35"/>
    <row r="90" x14ac:dyDescent="0.35"/>
    <row r="91" x14ac:dyDescent="0.35"/>
    <row r="92" x14ac:dyDescent="0.35"/>
    <row r="93" x14ac:dyDescent="0.35"/>
    <row r="94" x14ac:dyDescent="0.35"/>
    <row r="95" x14ac:dyDescent="0.35"/>
    <row r="96" x14ac:dyDescent="0.35"/>
    <row r="97" x14ac:dyDescent="0.35"/>
    <row r="98" x14ac:dyDescent="0.35"/>
    <row r="99" x14ac:dyDescent="0.35"/>
    <row r="100" x14ac:dyDescent="0.35"/>
    <row r="101" x14ac:dyDescent="0.35"/>
    <row r="102" x14ac:dyDescent="0.35"/>
    <row r="103" x14ac:dyDescent="0.35"/>
    <row r="104" x14ac:dyDescent="0.35"/>
    <row r="105" x14ac:dyDescent="0.35"/>
    <row r="106" x14ac:dyDescent="0.35"/>
    <row r="107" x14ac:dyDescent="0.35"/>
    <row r="108" x14ac:dyDescent="0.35"/>
    <row r="109" x14ac:dyDescent="0.35"/>
    <row r="110" x14ac:dyDescent="0.35"/>
    <row r="111" x14ac:dyDescent="0.35"/>
    <row r="112" x14ac:dyDescent="0.35"/>
    <row r="113" x14ac:dyDescent="0.35"/>
    <row r="114" x14ac:dyDescent="0.35"/>
    <row r="115" x14ac:dyDescent="0.35"/>
    <row r="116" x14ac:dyDescent="0.35"/>
    <row r="117" x14ac:dyDescent="0.35"/>
    <row r="118" x14ac:dyDescent="0.35"/>
    <row r="119" x14ac:dyDescent="0.35"/>
    <row r="120" x14ac:dyDescent="0.35"/>
    <row r="121" x14ac:dyDescent="0.35"/>
    <row r="122" x14ac:dyDescent="0.35"/>
    <row r="123" x14ac:dyDescent="0.35"/>
    <row r="124" x14ac:dyDescent="0.35"/>
    <row r="125" x14ac:dyDescent="0.35"/>
    <row r="126" x14ac:dyDescent="0.35"/>
    <row r="127" x14ac:dyDescent="0.35"/>
    <row r="128" x14ac:dyDescent="0.35"/>
    <row r="129" x14ac:dyDescent="0.35"/>
    <row r="132" x14ac:dyDescent="0.35"/>
    <row r="133" x14ac:dyDescent="0.35"/>
    <row r="134" x14ac:dyDescent="0.35"/>
    <row r="135" x14ac:dyDescent="0.35"/>
    <row r="136" x14ac:dyDescent="0.35"/>
    <row r="137" x14ac:dyDescent="0.35"/>
    <row r="138" x14ac:dyDescent="0.35"/>
    <row r="139" x14ac:dyDescent="0.35"/>
    <row r="140" x14ac:dyDescent="0.35"/>
    <row r="143" x14ac:dyDescent="0.35"/>
    <row r="145" x14ac:dyDescent="0.35"/>
    <row r="146" x14ac:dyDescent="0.35"/>
    <row r="147" x14ac:dyDescent="0.35"/>
    <row r="148" x14ac:dyDescent="0.35"/>
    <row r="149" x14ac:dyDescent="0.35"/>
    <row r="153" x14ac:dyDescent="0.35"/>
    <row r="154" x14ac:dyDescent="0.35"/>
    <row r="155" x14ac:dyDescent="0.35"/>
    <row r="156" x14ac:dyDescent="0.35"/>
    <row r="157" x14ac:dyDescent="0.35"/>
    <row r="159" x14ac:dyDescent="0.35"/>
    <row r="161" x14ac:dyDescent="0.35"/>
    <row r="162" x14ac:dyDescent="0.35"/>
    <row r="163" x14ac:dyDescent="0.35"/>
    <row r="164" x14ac:dyDescent="0.35"/>
    <row r="166" x14ac:dyDescent="0.35"/>
  </sheetData>
  <mergeCells count="29">
    <mergeCell ref="E3:F3"/>
    <mergeCell ref="G3:H3"/>
    <mergeCell ref="L3:M3"/>
    <mergeCell ref="N3:O3"/>
    <mergeCell ref="J19:K19"/>
    <mergeCell ref="K4:M4"/>
    <mergeCell ref="E4:F4"/>
    <mergeCell ref="G4:H4"/>
    <mergeCell ref="E5:F5"/>
    <mergeCell ref="J15:M15"/>
    <mergeCell ref="N19:O19"/>
    <mergeCell ref="G27:H27"/>
    <mergeCell ref="G35:H35"/>
    <mergeCell ref="G40:H40"/>
    <mergeCell ref="G15:H15"/>
    <mergeCell ref="N4:O4"/>
    <mergeCell ref="N15:O15"/>
    <mergeCell ref="N21:O21"/>
    <mergeCell ref="J21:M21"/>
    <mergeCell ref="N22:O22"/>
    <mergeCell ref="J22:K22"/>
    <mergeCell ref="L19:M19"/>
    <mergeCell ref="L22:M22"/>
    <mergeCell ref="G5:H5"/>
    <mergeCell ref="E35:F35"/>
    <mergeCell ref="E40:F40"/>
    <mergeCell ref="E50:F50"/>
    <mergeCell ref="E15:F15"/>
    <mergeCell ref="E27:F27"/>
  </mergeCells>
  <phoneticPr fontId="24" type="noConversion"/>
  <pageMargins left="0.511811024" right="0.511811024" top="0.78740157499999996" bottom="0.78740157499999996" header="0.31496062000000002" footer="0.31496062000000002"/>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20"/>
  <dimension ref="A1:V173"/>
  <sheetViews>
    <sheetView showGridLines="0" zoomScaleNormal="100" workbookViewId="0">
      <pane xSplit="2" ySplit="1" topLeftCell="C2" activePane="bottomRight" state="frozen"/>
      <selection pane="topRight"/>
      <selection pane="bottomLeft"/>
      <selection pane="bottomRight"/>
    </sheetView>
  </sheetViews>
  <sheetFormatPr defaultColWidth="0" defaultRowHeight="0" customHeight="1" zeroHeight="1" x14ac:dyDescent="0.35"/>
  <cols>
    <col min="1" max="2" width="1.6328125" customWidth="1"/>
    <col min="3" max="3" width="14.90625" customWidth="1"/>
    <col min="4" max="4" width="83" customWidth="1"/>
    <col min="5" max="5" width="24.90625" bestFit="1" customWidth="1"/>
    <col min="6" max="6" width="18.7265625" customWidth="1"/>
    <col min="7" max="7" width="24.453125" customWidth="1"/>
    <col min="8" max="8" width="14.54296875" customWidth="1"/>
    <col min="9" max="9" width="7.81640625" customWidth="1"/>
    <col min="10" max="10" width="14.90625" customWidth="1"/>
    <col min="11" max="11" width="76" customWidth="1"/>
    <col min="12" max="12" width="28.36328125" bestFit="1" customWidth="1"/>
    <col min="13" max="13" width="18.81640625" customWidth="1"/>
    <col min="14" max="14" width="33.453125" customWidth="1"/>
    <col min="15" max="15" width="17.36328125" customWidth="1"/>
    <col min="16" max="21" width="20.7265625" customWidth="1"/>
    <col min="22" max="22" width="0" hidden="1" customWidth="1"/>
    <col min="23" max="16384" width="9.1796875" hidden="1"/>
  </cols>
  <sheetData>
    <row r="1" spans="2:15" s="10" customFormat="1" ht="26.5" customHeight="1" x14ac:dyDescent="0.55000000000000004">
      <c r="B1" s="56"/>
      <c r="C1" s="57"/>
    </row>
    <row r="2" spans="2:15" s="10" customFormat="1" ht="24.65" customHeight="1" x14ac:dyDescent="0.35">
      <c r="B2" s="537" t="s">
        <v>1242</v>
      </c>
    </row>
    <row r="3" spans="2:15" ht="16.399999999999999" customHeight="1" thickBot="1" x14ac:dyDescent="0.4">
      <c r="E3" s="694" t="s">
        <v>1243</v>
      </c>
      <c r="F3" s="694"/>
      <c r="G3" s="696" t="s">
        <v>1244</v>
      </c>
      <c r="H3" s="696"/>
      <c r="L3" s="694" t="s">
        <v>1243</v>
      </c>
      <c r="M3" s="694"/>
      <c r="N3" s="694" t="s">
        <v>1244</v>
      </c>
      <c r="O3" s="694"/>
    </row>
    <row r="4" spans="2:15" ht="30" customHeight="1" thickTop="1" thickBot="1" x14ac:dyDescent="0.4">
      <c r="C4" s="92" t="s">
        <v>238</v>
      </c>
      <c r="D4" s="92" t="s">
        <v>1292</v>
      </c>
      <c r="E4" s="663">
        <f>IF(ISERROR($E$5+$E$11+$E$17+$E$25+$E$28),"",$E$5+$E$11+$E$17+$E$25+$E$28)</f>
        <v>3181566010.0900011</v>
      </c>
      <c r="F4" s="664"/>
      <c r="G4" s="663">
        <f>IF(ISERROR($G$5+$G$11+$G$17+$G$25+$G$28),"",$G$5+$G$11+$G$17+$G$25+$G$28)</f>
        <v>0</v>
      </c>
      <c r="H4" s="664"/>
      <c r="J4" s="92" t="str">
        <f>C4</f>
        <v>2.1</v>
      </c>
      <c r="K4" s="671" t="s">
        <v>1293</v>
      </c>
      <c r="L4" s="672"/>
      <c r="M4" s="673"/>
      <c r="N4" s="671"/>
      <c r="O4" s="672"/>
    </row>
    <row r="5" spans="2:15" ht="30" customHeight="1" thickTop="1" thickBot="1" x14ac:dyDescent="0.4">
      <c r="C5" s="105" t="s">
        <v>240</v>
      </c>
      <c r="D5" s="347" t="s">
        <v>241</v>
      </c>
      <c r="E5" s="695">
        <f>IF(ISERROR(SUM(E6:E10)),"",SUM(E6:E10))</f>
        <v>262500000</v>
      </c>
      <c r="F5" s="676"/>
      <c r="G5" s="695">
        <f>IF(ISERROR(SUM(G6:G10)),"",SUM(G6:G10))</f>
        <v>0</v>
      </c>
      <c r="H5" s="676"/>
      <c r="J5" s="76" t="str">
        <f>C5</f>
        <v>2.1.1</v>
      </c>
      <c r="K5" s="84" t="str">
        <f>D5</f>
        <v xml:space="preserve">Capital </v>
      </c>
      <c r="L5" s="100">
        <f>IF(ISERROR('Capital Próprio'!$E$5),"",'Capital Próprio'!$E$5)</f>
        <v>262500000</v>
      </c>
      <c r="M5" s="350" t="str">
        <f>IF(ISERROR(L5/$N$5),"",L5/$N$5)</f>
        <v/>
      </c>
      <c r="N5" s="100">
        <f>IF(ISERROR('Capital Próprio'!$G$5),"",'Capital Próprio'!$G$5)</f>
        <v>0</v>
      </c>
      <c r="O5" s="352"/>
    </row>
    <row r="6" spans="2:15" ht="30" customHeight="1" thickTop="1" thickBot="1" x14ac:dyDescent="0.4">
      <c r="C6" s="34" t="s">
        <v>242</v>
      </c>
      <c r="D6" s="312" t="s">
        <v>243</v>
      </c>
      <c r="E6" s="353">
        <f>-Balancete!F268</f>
        <v>262500000</v>
      </c>
      <c r="F6" s="35">
        <f t="shared" ref="F6:F10" si="0">IF(ISERROR(E6/$E$5),"",E6/$E$5)</f>
        <v>1</v>
      </c>
      <c r="G6" s="353">
        <f>-Balancete!G268</f>
        <v>0</v>
      </c>
      <c r="H6" s="359"/>
      <c r="J6" s="76" t="str">
        <f>C11</f>
        <v>2.1.2</v>
      </c>
      <c r="K6" s="84" t="str">
        <f>D11</f>
        <v>Reservas</v>
      </c>
      <c r="L6" s="100">
        <f>IF(ISERROR('Capital Próprio'!$E$11),"",'Capital Próprio'!$E$11)</f>
        <v>0</v>
      </c>
      <c r="M6" s="350" t="str">
        <f t="shared" ref="M6:M10" si="1">IF(ISERROR(L6/$N$5),"",L6/$N$5)</f>
        <v/>
      </c>
      <c r="N6" s="100">
        <f>IF(ISERROR('Capital Próprio'!$G$11),"",'Capital Próprio'!$G$11)</f>
        <v>0</v>
      </c>
      <c r="O6" s="351"/>
    </row>
    <row r="7" spans="2:15" ht="30" customHeight="1" thickTop="1" thickBot="1" x14ac:dyDescent="0.4">
      <c r="C7" s="34" t="s">
        <v>244</v>
      </c>
      <c r="D7" s="299" t="s">
        <v>245</v>
      </c>
      <c r="E7" s="319">
        <f>Balancete!F270</f>
        <v>0</v>
      </c>
      <c r="F7" s="315">
        <f t="shared" si="0"/>
        <v>0</v>
      </c>
      <c r="G7" s="319">
        <f>Balancete!G270</f>
        <v>0</v>
      </c>
      <c r="H7" s="360"/>
      <c r="J7" s="76" t="str">
        <f>C17</f>
        <v>2.1.3</v>
      </c>
      <c r="K7" s="84" t="str">
        <f>D17</f>
        <v>Resultados transitados</v>
      </c>
      <c r="L7" s="100">
        <f>IF(ISERROR('Capital Próprio'!$E$17),"",'Capital Próprio'!$E$17)</f>
        <v>4593266203.0400009</v>
      </c>
      <c r="M7" s="350" t="str">
        <f t="shared" si="1"/>
        <v/>
      </c>
      <c r="N7" s="100">
        <f>IF(ISERROR('Capital Próprio'!$G$17),"",'Capital Próprio'!$G$17)</f>
        <v>0</v>
      </c>
      <c r="O7" s="351"/>
    </row>
    <row r="8" spans="2:15" ht="30" customHeight="1" thickTop="1" thickBot="1" x14ac:dyDescent="0.4">
      <c r="C8" s="34" t="s">
        <v>246</v>
      </c>
      <c r="D8" s="309" t="s">
        <v>247</v>
      </c>
      <c r="E8" s="324">
        <f>Balancete!F274</f>
        <v>0</v>
      </c>
      <c r="F8" s="35">
        <f t="shared" si="0"/>
        <v>0</v>
      </c>
      <c r="G8" s="324">
        <f>Balancete!G274</f>
        <v>0</v>
      </c>
      <c r="H8" s="35"/>
      <c r="J8" s="76" t="str">
        <f>C25</f>
        <v>2.1.4</v>
      </c>
      <c r="K8" s="84" t="str">
        <f>D25</f>
        <v>Resultados do exercício</v>
      </c>
      <c r="L8" s="100">
        <f>IF(ISERROR('Capital Próprio'!$E$25),"",'Capital Próprio'!$E$25)</f>
        <v>-1674200192.9499998</v>
      </c>
      <c r="M8" s="350" t="str">
        <f t="shared" si="1"/>
        <v/>
      </c>
      <c r="N8" s="100">
        <f>IF(ISERROR('Capital Próprio'!$G$25),"",'Capital Próprio'!$G$25)</f>
        <v>0</v>
      </c>
      <c r="O8" s="351"/>
    </row>
    <row r="9" spans="2:15" ht="30" customHeight="1" thickTop="1" thickBot="1" x14ac:dyDescent="0.4">
      <c r="C9" s="354" t="s">
        <v>248</v>
      </c>
      <c r="D9" s="299" t="s">
        <v>249</v>
      </c>
      <c r="E9" s="319">
        <f>-Balancete!F276</f>
        <v>0</v>
      </c>
      <c r="F9" s="315">
        <f t="shared" si="0"/>
        <v>0</v>
      </c>
      <c r="G9" s="319">
        <f>-Balancete!G276</f>
        <v>0</v>
      </c>
      <c r="H9" s="360"/>
      <c r="J9" s="83"/>
      <c r="K9" s="84"/>
      <c r="L9" s="100" t="str">
        <f>IF(ISERROR('Capital Próprio'!#REF!),"",'Capital Próprio'!#REF!)</f>
        <v/>
      </c>
      <c r="M9" s="350" t="str">
        <f t="shared" si="1"/>
        <v/>
      </c>
      <c r="N9" s="100" t="str">
        <f>IF(ISERROR('Capital Próprio'!#REF!),"",'Capital Próprio'!#REF!)</f>
        <v/>
      </c>
      <c r="O9" s="351"/>
    </row>
    <row r="10" spans="2:15" ht="30" customHeight="1" thickTop="1" thickBot="1" x14ac:dyDescent="0.4">
      <c r="C10" s="34" t="s">
        <v>1294</v>
      </c>
      <c r="D10" s="326"/>
      <c r="E10" s="324"/>
      <c r="F10" s="35">
        <f t="shared" si="0"/>
        <v>0</v>
      </c>
      <c r="G10" s="335"/>
      <c r="H10" s="35"/>
      <c r="J10" s="83"/>
      <c r="K10" s="84"/>
      <c r="L10" s="100" t="str">
        <f>IF(ISERROR('Capital Próprio'!#REF!),"",'Capital Próprio'!#REF!)</f>
        <v/>
      </c>
      <c r="M10" s="350" t="str">
        <f t="shared" si="1"/>
        <v/>
      </c>
      <c r="N10" s="100" t="str">
        <f>IF(ISERROR('Capital Próprio'!#REF!),"",'Capital Próprio'!#REF!)</f>
        <v/>
      </c>
      <c r="O10" s="351"/>
    </row>
    <row r="11" spans="2:15" ht="30" customHeight="1" thickTop="1" thickBot="1" x14ac:dyDescent="0.4">
      <c r="C11" s="30" t="s">
        <v>250</v>
      </c>
      <c r="D11" s="36" t="s">
        <v>251</v>
      </c>
      <c r="E11" s="695">
        <f>IF(ISERROR(SUM(E12:E16)),"",SUM(E12:E16))</f>
        <v>0</v>
      </c>
      <c r="F11" s="697"/>
      <c r="G11" s="695">
        <f>IF(ISERROR(SUM(G12:G16)),"",SUM(G12:G16))</f>
        <v>0</v>
      </c>
      <c r="H11" s="697"/>
    </row>
    <row r="12" spans="2:15" ht="30" customHeight="1" thickTop="1" thickBot="1" x14ac:dyDescent="0.4">
      <c r="C12" s="34" t="s">
        <v>252</v>
      </c>
      <c r="D12" s="299" t="s">
        <v>253</v>
      </c>
      <c r="E12" s="319">
        <f>-Balancete!F278</f>
        <v>0</v>
      </c>
      <c r="F12" s="35" t="str">
        <f t="shared" ref="F12:F16" si="2">IF(ISERROR(E12/$E$11),"",E12/$E$11)</f>
        <v/>
      </c>
      <c r="G12" s="319">
        <f>-Balancete!G278</f>
        <v>0</v>
      </c>
      <c r="H12" s="356"/>
      <c r="J12" s="671" t="s">
        <v>1295</v>
      </c>
      <c r="K12" s="672"/>
      <c r="L12" s="672"/>
      <c r="M12" s="672"/>
      <c r="N12" s="671"/>
      <c r="O12" s="672"/>
    </row>
    <row r="13" spans="2:15" ht="30" customHeight="1" thickTop="1" thickBot="1" x14ac:dyDescent="0.4">
      <c r="C13" s="34" t="s">
        <v>254</v>
      </c>
      <c r="D13" s="309" t="s">
        <v>255</v>
      </c>
      <c r="E13" s="324">
        <f>Balancete!F282</f>
        <v>0</v>
      </c>
      <c r="F13" s="35" t="str">
        <f t="shared" si="2"/>
        <v/>
      </c>
      <c r="G13" s="324">
        <f>Balancete!G282</f>
        <v>0</v>
      </c>
      <c r="H13" s="356"/>
      <c r="J13" s="669" t="s">
        <v>1253</v>
      </c>
      <c r="K13" s="669"/>
      <c r="L13" s="693">
        <f>SUM(L5:L10)</f>
        <v>3181566010.0900011</v>
      </c>
      <c r="M13" s="693"/>
      <c r="N13" s="693">
        <f>SUM(N5:N10)</f>
        <v>0</v>
      </c>
      <c r="O13" s="693"/>
    </row>
    <row r="14" spans="2:15" ht="30" customHeight="1" thickTop="1" thickBot="1" x14ac:dyDescent="0.4">
      <c r="C14" s="34" t="s">
        <v>256</v>
      </c>
      <c r="D14" s="299" t="s">
        <v>257</v>
      </c>
      <c r="E14" s="319">
        <f>Balancete!F285</f>
        <v>0</v>
      </c>
      <c r="F14" s="315" t="str">
        <f t="shared" si="2"/>
        <v/>
      </c>
      <c r="G14" s="319">
        <f>Balancete!G285</f>
        <v>0</v>
      </c>
      <c r="H14" s="360"/>
    </row>
    <row r="15" spans="2:15" ht="30" customHeight="1" thickTop="1" thickBot="1" x14ac:dyDescent="0.4">
      <c r="C15" s="34" t="s">
        <v>258</v>
      </c>
      <c r="D15" s="309" t="s">
        <v>259</v>
      </c>
      <c r="E15" s="324">
        <f>-Balancete!F287</f>
        <v>0</v>
      </c>
      <c r="F15" s="35" t="str">
        <f t="shared" si="2"/>
        <v/>
      </c>
      <c r="G15" s="324">
        <f>-Balancete!G287</f>
        <v>0</v>
      </c>
      <c r="H15" s="356"/>
    </row>
    <row r="16" spans="2:15" ht="30" customHeight="1" thickTop="1" thickBot="1" x14ac:dyDescent="0.4">
      <c r="C16" s="34" t="s">
        <v>1296</v>
      </c>
      <c r="D16" s="331"/>
      <c r="E16" s="319"/>
      <c r="F16" s="315" t="str">
        <f t="shared" si="2"/>
        <v/>
      </c>
      <c r="G16" s="334"/>
      <c r="H16" s="360"/>
    </row>
    <row r="17" spans="2:21" ht="30" customHeight="1" thickTop="1" thickBot="1" x14ac:dyDescent="0.4">
      <c r="C17" s="30" t="s">
        <v>260</v>
      </c>
      <c r="D17" s="36" t="s">
        <v>261</v>
      </c>
      <c r="E17" s="700">
        <f>IF(ISERROR(SUM(E18:E24)),"",SUM(E18:E24))</f>
        <v>4593266203.0400009</v>
      </c>
      <c r="F17" s="701"/>
      <c r="G17" s="348"/>
      <c r="H17" s="361"/>
    </row>
    <row r="18" spans="2:21" ht="30" customHeight="1" thickTop="1" thickBot="1" x14ac:dyDescent="0.4">
      <c r="C18" s="34" t="s">
        <v>262</v>
      </c>
      <c r="D18" s="303" t="s">
        <v>263</v>
      </c>
      <c r="E18" s="319">
        <f>-Balancete!F289</f>
        <v>4593266203.0400009</v>
      </c>
      <c r="F18" s="355">
        <f t="shared" ref="F18:F24" si="3">IF(ISERROR(E18/$E$17),"",E18/$E$17)</f>
        <v>1</v>
      </c>
      <c r="G18" s="334"/>
      <c r="H18" s="360"/>
    </row>
    <row r="19" spans="2:21" ht="30" customHeight="1" thickTop="1" thickBot="1" x14ac:dyDescent="0.4">
      <c r="C19" s="34" t="s">
        <v>265</v>
      </c>
      <c r="D19" s="309" t="s">
        <v>266</v>
      </c>
      <c r="E19" s="324"/>
      <c r="F19" s="35">
        <f t="shared" si="3"/>
        <v>0</v>
      </c>
      <c r="G19" s="335"/>
      <c r="H19" s="356"/>
    </row>
    <row r="20" spans="2:21" ht="30" customHeight="1" thickTop="1" thickBot="1" x14ac:dyDescent="0.4">
      <c r="C20" s="34" t="s">
        <v>268</v>
      </c>
      <c r="D20" s="299" t="s">
        <v>269</v>
      </c>
      <c r="E20" s="319"/>
      <c r="F20" s="315">
        <f t="shared" si="3"/>
        <v>0</v>
      </c>
      <c r="G20" s="334"/>
      <c r="H20" s="360"/>
    </row>
    <row r="21" spans="2:21" ht="30" customHeight="1" thickTop="1" thickBot="1" x14ac:dyDescent="0.4">
      <c r="C21" s="34" t="s">
        <v>271</v>
      </c>
      <c r="D21" s="299" t="s">
        <v>272</v>
      </c>
      <c r="E21" s="324"/>
      <c r="F21" s="35">
        <f t="shared" si="3"/>
        <v>0</v>
      </c>
      <c r="G21" s="335"/>
      <c r="H21" s="356"/>
    </row>
    <row r="22" spans="2:21" ht="30" customHeight="1" thickTop="1" thickBot="1" x14ac:dyDescent="0.4">
      <c r="C22" s="34" t="s">
        <v>274</v>
      </c>
      <c r="D22" s="299" t="s">
        <v>275</v>
      </c>
      <c r="E22" s="324"/>
      <c r="F22" s="35">
        <f t="shared" si="3"/>
        <v>0</v>
      </c>
      <c r="G22" s="335"/>
      <c r="H22" s="356"/>
    </row>
    <row r="23" spans="2:21" ht="30" customHeight="1" thickTop="1" thickBot="1" x14ac:dyDescent="0.4">
      <c r="C23" s="34" t="s">
        <v>277</v>
      </c>
      <c r="D23" s="299" t="s">
        <v>278</v>
      </c>
      <c r="E23" s="320"/>
      <c r="F23" s="355">
        <f t="shared" si="3"/>
        <v>0</v>
      </c>
      <c r="G23" s="335"/>
      <c r="H23" s="356"/>
    </row>
    <row r="24" spans="2:21" ht="30" customHeight="1" thickTop="1" thickBot="1" x14ac:dyDescent="0.4">
      <c r="C24" s="34" t="s">
        <v>1297</v>
      </c>
      <c r="D24" s="326"/>
      <c r="E24" s="324"/>
      <c r="F24" s="35">
        <f t="shared" si="3"/>
        <v>0</v>
      </c>
      <c r="G24" s="334"/>
      <c r="H24" s="360"/>
    </row>
    <row r="25" spans="2:21" ht="30" customHeight="1" thickTop="1" thickBot="1" x14ac:dyDescent="0.4">
      <c r="C25" s="30" t="s">
        <v>279</v>
      </c>
      <c r="D25" s="36" t="s">
        <v>280</v>
      </c>
      <c r="E25" s="698">
        <f>IF(ISERROR(SUM(E26:E27)),"",SUM(E26:E27))</f>
        <v>-1674200192.9499998</v>
      </c>
      <c r="F25" s="676"/>
      <c r="G25" s="698">
        <f>IF(ISERROR(SUM(G26:G27)),"",SUM(G26:G27))</f>
        <v>0</v>
      </c>
      <c r="H25" s="676"/>
    </row>
    <row r="26" spans="2:21" ht="30" customHeight="1" thickTop="1" thickBot="1" x14ac:dyDescent="0.4">
      <c r="C26" s="34" t="s">
        <v>1298</v>
      </c>
      <c r="D26" s="326" t="s">
        <v>280</v>
      </c>
      <c r="E26" s="319">
        <f>Balancete!F296</f>
        <v>-1674200192.9499998</v>
      </c>
      <c r="F26" s="355">
        <f t="shared" ref="F26:F27" si="4">IF(ISERROR(E26/$E$25),"",E26/$E$25)</f>
        <v>1</v>
      </c>
      <c r="G26" s="319">
        <f>Balancete!G296</f>
        <v>0</v>
      </c>
      <c r="H26" s="35"/>
    </row>
    <row r="27" spans="2:21" ht="30" customHeight="1" thickTop="1" thickBot="1" x14ac:dyDescent="0.4">
      <c r="C27" s="34" t="s">
        <v>1299</v>
      </c>
      <c r="D27" s="326"/>
      <c r="E27" s="329"/>
      <c r="F27" s="35">
        <f t="shared" si="4"/>
        <v>0</v>
      </c>
      <c r="G27" s="335"/>
      <c r="H27" s="35"/>
    </row>
    <row r="28" spans="2:21" s="1" customFormat="1" ht="30" customHeight="1" thickTop="1" thickBot="1" x14ac:dyDescent="0.4">
      <c r="B28"/>
      <c r="C28" s="30"/>
      <c r="D28" s="31"/>
      <c r="E28" s="699"/>
      <c r="F28" s="678"/>
      <c r="G28" s="284"/>
      <c r="H28" s="284"/>
      <c r="I28"/>
      <c r="J28"/>
      <c r="K28"/>
      <c r="L28"/>
      <c r="M28"/>
      <c r="N28"/>
      <c r="O28"/>
      <c r="P28"/>
      <c r="Q28"/>
      <c r="R28"/>
      <c r="S28"/>
      <c r="T28"/>
      <c r="U28"/>
    </row>
    <row r="29" spans="2:21" s="1" customFormat="1" ht="30" customHeight="1" thickTop="1" thickBot="1" x14ac:dyDescent="0.4">
      <c r="B29"/>
      <c r="C29" s="34"/>
      <c r="D29" s="5"/>
      <c r="E29" s="4"/>
      <c r="F29" s="35"/>
      <c r="G29" s="282"/>
      <c r="H29" s="282"/>
      <c r="I29"/>
      <c r="J29"/>
      <c r="K29"/>
      <c r="L29"/>
      <c r="M29"/>
      <c r="N29"/>
      <c r="O29"/>
      <c r="P29"/>
      <c r="Q29"/>
      <c r="R29"/>
      <c r="S29"/>
      <c r="T29"/>
      <c r="U29"/>
    </row>
    <row r="30" spans="2:21" s="1" customFormat="1" ht="30" customHeight="1" thickTop="1" thickBot="1" x14ac:dyDescent="0.4">
      <c r="B30"/>
      <c r="C30" s="34"/>
      <c r="D30" s="5"/>
      <c r="E30" s="4"/>
      <c r="F30" s="35"/>
      <c r="G30" s="282"/>
      <c r="H30" s="282"/>
      <c r="I30"/>
      <c r="J30"/>
      <c r="K30"/>
      <c r="L30"/>
      <c r="M30"/>
      <c r="N30"/>
      <c r="O30"/>
      <c r="P30"/>
      <c r="Q30"/>
      <c r="R30"/>
      <c r="S30"/>
      <c r="T30"/>
      <c r="U30"/>
    </row>
    <row r="31" spans="2:21" s="1" customFormat="1" ht="30" customHeight="1" thickTop="1" thickBot="1" x14ac:dyDescent="0.4">
      <c r="B31"/>
      <c r="C31" s="34"/>
      <c r="D31" s="5"/>
      <c r="E31" s="4"/>
      <c r="F31" s="35"/>
      <c r="G31" s="282"/>
      <c r="H31" s="282"/>
      <c r="I31"/>
      <c r="J31"/>
      <c r="K31"/>
      <c r="L31"/>
      <c r="M31"/>
      <c r="N31"/>
      <c r="O31"/>
      <c r="P31"/>
      <c r="Q31"/>
      <c r="R31"/>
      <c r="S31"/>
      <c r="T31"/>
      <c r="U31"/>
    </row>
    <row r="32" spans="2:21" s="1" customFormat="1" ht="30" customHeight="1" thickTop="1" thickBot="1" x14ac:dyDescent="0.4">
      <c r="B32"/>
      <c r="C32" s="34"/>
      <c r="D32" s="5"/>
      <c r="E32" s="4"/>
      <c r="F32" s="35"/>
      <c r="G32" s="282"/>
      <c r="H32" s="282"/>
      <c r="I32"/>
      <c r="J32"/>
      <c r="K32"/>
      <c r="L32"/>
      <c r="M32"/>
      <c r="N32"/>
      <c r="O32"/>
      <c r="P32"/>
      <c r="Q32"/>
      <c r="R32"/>
      <c r="S32"/>
      <c r="T32"/>
      <c r="U32"/>
    </row>
    <row r="33" spans="2:21" s="1" customFormat="1" ht="30" customHeight="1" thickTop="1" thickBot="1" x14ac:dyDescent="0.4">
      <c r="B33"/>
      <c r="C33" s="34"/>
      <c r="D33" s="5"/>
      <c r="E33" s="4"/>
      <c r="F33" s="35"/>
      <c r="G33" s="282"/>
      <c r="H33" s="282"/>
      <c r="I33"/>
      <c r="J33"/>
      <c r="K33"/>
      <c r="L33"/>
      <c r="M33"/>
      <c r="N33"/>
      <c r="O33"/>
      <c r="P33"/>
      <c r="Q33"/>
      <c r="R33"/>
      <c r="S33"/>
      <c r="T33"/>
      <c r="U33"/>
    </row>
    <row r="34" spans="2:21" s="1" customFormat="1" ht="30" customHeight="1" thickTop="1" thickBot="1" x14ac:dyDescent="0.4">
      <c r="B34"/>
      <c r="C34" s="34"/>
      <c r="D34" s="5"/>
      <c r="E34" s="4"/>
      <c r="F34" s="35"/>
      <c r="G34" s="282"/>
      <c r="H34" s="282"/>
      <c r="I34"/>
      <c r="J34"/>
      <c r="K34"/>
      <c r="L34"/>
      <c r="M34"/>
      <c r="N34"/>
      <c r="O34"/>
      <c r="P34"/>
      <c r="Q34"/>
      <c r="R34"/>
      <c r="S34"/>
      <c r="T34"/>
      <c r="U34"/>
    </row>
    <row r="35" spans="2:21" s="1" customFormat="1" ht="30" customHeight="1" thickTop="1" thickBot="1" x14ac:dyDescent="0.4">
      <c r="B35"/>
      <c r="C35" s="34"/>
      <c r="D35" s="5"/>
      <c r="E35" s="4"/>
      <c r="F35" s="35"/>
      <c r="G35" s="282"/>
      <c r="H35" s="282"/>
      <c r="I35"/>
      <c r="J35"/>
      <c r="K35"/>
      <c r="L35"/>
      <c r="M35"/>
      <c r="N35"/>
      <c r="O35"/>
      <c r="P35"/>
      <c r="Q35"/>
      <c r="R35"/>
      <c r="S35"/>
      <c r="T35"/>
      <c r="U35"/>
    </row>
    <row r="36" spans="2:21" s="1" customFormat="1" ht="30" customHeight="1" thickTop="1" thickBot="1" x14ac:dyDescent="0.4">
      <c r="B36"/>
      <c r="C36" s="34"/>
      <c r="D36" s="5"/>
      <c r="E36" s="4"/>
      <c r="F36" s="35"/>
      <c r="G36" s="282"/>
      <c r="H36" s="282"/>
      <c r="I36"/>
      <c r="J36"/>
      <c r="K36"/>
      <c r="L36"/>
      <c r="M36"/>
      <c r="N36"/>
      <c r="O36"/>
      <c r="P36"/>
      <c r="Q36"/>
      <c r="R36"/>
      <c r="S36"/>
      <c r="T36"/>
      <c r="U36"/>
    </row>
    <row r="37" spans="2:21" s="1" customFormat="1" ht="30" customHeight="1" thickTop="1" thickBot="1" x14ac:dyDescent="0.4">
      <c r="B37"/>
      <c r="C37" s="34"/>
      <c r="D37" s="5"/>
      <c r="E37" s="4"/>
      <c r="F37" s="35"/>
      <c r="G37" s="282"/>
      <c r="H37" s="282"/>
      <c r="I37"/>
      <c r="J37"/>
      <c r="K37"/>
      <c r="L37"/>
      <c r="M37"/>
      <c r="N37"/>
      <c r="O37"/>
      <c r="P37"/>
      <c r="Q37"/>
      <c r="R37"/>
      <c r="S37"/>
      <c r="T37"/>
      <c r="U37"/>
    </row>
    <row r="38" spans="2:21" s="1" customFormat="1" ht="30" customHeight="1" thickTop="1" x14ac:dyDescent="0.35">
      <c r="B38"/>
      <c r="C38"/>
      <c r="D38"/>
      <c r="E38"/>
      <c r="F38"/>
      <c r="G38"/>
      <c r="H38"/>
      <c r="I38"/>
      <c r="J38"/>
      <c r="K38"/>
      <c r="L38"/>
      <c r="M38"/>
      <c r="N38"/>
      <c r="O38"/>
      <c r="P38"/>
      <c r="Q38"/>
      <c r="R38"/>
      <c r="S38"/>
      <c r="T38"/>
      <c r="U38"/>
    </row>
    <row r="39" spans="2:21" s="1" customFormat="1" ht="30" customHeight="1" x14ac:dyDescent="0.35">
      <c r="B39"/>
      <c r="C39"/>
      <c r="D39"/>
      <c r="E39"/>
      <c r="F39"/>
      <c r="G39"/>
      <c r="H39"/>
      <c r="I39"/>
      <c r="J39"/>
      <c r="K39"/>
      <c r="L39"/>
      <c r="M39"/>
      <c r="N39"/>
      <c r="O39"/>
      <c r="P39"/>
      <c r="Q39"/>
      <c r="R39"/>
      <c r="S39"/>
      <c r="T39"/>
      <c r="U39"/>
    </row>
    <row r="40" spans="2:21" s="1" customFormat="1" ht="30" customHeight="1" x14ac:dyDescent="0.35">
      <c r="B40"/>
      <c r="C40"/>
      <c r="D40"/>
      <c r="E40"/>
      <c r="F40"/>
      <c r="G40"/>
      <c r="H40"/>
      <c r="I40"/>
      <c r="J40"/>
      <c r="K40"/>
      <c r="L40"/>
      <c r="M40"/>
      <c r="N40"/>
      <c r="O40"/>
      <c r="P40"/>
      <c r="Q40"/>
      <c r="R40"/>
      <c r="S40"/>
      <c r="T40"/>
      <c r="U40"/>
    </row>
    <row r="41" spans="2:21" s="1" customFormat="1" ht="30" customHeight="1" x14ac:dyDescent="0.35">
      <c r="B41"/>
      <c r="C41"/>
      <c r="D41"/>
      <c r="E41"/>
      <c r="F41"/>
      <c r="G41"/>
      <c r="H41"/>
      <c r="I41"/>
      <c r="J41"/>
      <c r="K41"/>
      <c r="L41"/>
      <c r="M41"/>
      <c r="N41"/>
      <c r="O41"/>
      <c r="P41"/>
      <c r="Q41"/>
      <c r="R41"/>
      <c r="S41"/>
      <c r="T41"/>
      <c r="U41"/>
    </row>
    <row r="42" spans="2:21" s="1" customFormat="1" ht="34" customHeight="1" x14ac:dyDescent="0.35">
      <c r="B42"/>
      <c r="C42"/>
      <c r="D42"/>
      <c r="E42"/>
      <c r="F42"/>
      <c r="G42"/>
      <c r="H42"/>
      <c r="I42"/>
      <c r="J42"/>
      <c r="K42"/>
      <c r="L42"/>
      <c r="M42"/>
      <c r="N42"/>
      <c r="O42"/>
      <c r="P42"/>
      <c r="Q42"/>
      <c r="R42"/>
      <c r="S42"/>
      <c r="T42"/>
      <c r="U42"/>
    </row>
    <row r="43" spans="2:21" s="1" customFormat="1" ht="34" customHeight="1" x14ac:dyDescent="0.35">
      <c r="B43"/>
      <c r="C43"/>
      <c r="D43"/>
      <c r="E43"/>
      <c r="F43"/>
      <c r="G43"/>
      <c r="H43"/>
      <c r="I43"/>
      <c r="J43"/>
      <c r="K43"/>
      <c r="L43"/>
      <c r="M43"/>
      <c r="N43"/>
      <c r="O43"/>
      <c r="P43"/>
      <c r="Q43"/>
      <c r="R43"/>
      <c r="S43"/>
      <c r="T43"/>
      <c r="U43"/>
    </row>
    <row r="44" spans="2:21" s="1" customFormat="1" ht="34" customHeight="1" x14ac:dyDescent="0.35">
      <c r="B44"/>
      <c r="C44"/>
      <c r="D44"/>
      <c r="E44"/>
      <c r="F44"/>
      <c r="G44"/>
      <c r="H44"/>
      <c r="I44"/>
      <c r="J44"/>
      <c r="K44"/>
      <c r="L44"/>
      <c r="M44"/>
      <c r="N44"/>
      <c r="O44"/>
      <c r="P44"/>
      <c r="Q44"/>
      <c r="R44"/>
      <c r="S44"/>
      <c r="T44"/>
      <c r="U44"/>
    </row>
    <row r="45" spans="2:21" s="1" customFormat="1" ht="34" customHeight="1" x14ac:dyDescent="0.35">
      <c r="B45"/>
      <c r="C45"/>
      <c r="D45"/>
      <c r="E45"/>
      <c r="F45"/>
      <c r="G45"/>
      <c r="H45"/>
      <c r="I45"/>
      <c r="J45"/>
      <c r="K45"/>
      <c r="L45"/>
      <c r="M45"/>
      <c r="N45"/>
      <c r="O45"/>
      <c r="P45"/>
      <c r="Q45"/>
      <c r="R45"/>
      <c r="S45"/>
      <c r="T45"/>
      <c r="U45"/>
    </row>
    <row r="46" spans="2:21" s="1" customFormat="1" ht="34" customHeight="1" x14ac:dyDescent="0.35">
      <c r="B46"/>
      <c r="C46"/>
      <c r="D46"/>
      <c r="E46"/>
      <c r="F46"/>
      <c r="G46"/>
      <c r="H46"/>
      <c r="I46"/>
      <c r="J46"/>
      <c r="K46"/>
      <c r="L46"/>
      <c r="M46"/>
      <c r="N46"/>
      <c r="O46"/>
      <c r="P46"/>
      <c r="Q46"/>
      <c r="R46"/>
      <c r="S46"/>
      <c r="T46"/>
      <c r="U46"/>
    </row>
    <row r="47" spans="2:21" s="1" customFormat="1" ht="34" customHeight="1" x14ac:dyDescent="0.35">
      <c r="B47"/>
      <c r="C47"/>
      <c r="D47"/>
      <c r="E47"/>
      <c r="F47"/>
      <c r="G47"/>
      <c r="H47"/>
      <c r="I47"/>
      <c r="J47"/>
      <c r="K47"/>
      <c r="L47"/>
      <c r="M47"/>
      <c r="N47"/>
      <c r="O47"/>
      <c r="P47"/>
      <c r="Q47"/>
      <c r="R47"/>
      <c r="S47"/>
      <c r="T47"/>
      <c r="U47"/>
    </row>
    <row r="48" spans="2:21" s="1" customFormat="1" ht="34" customHeight="1" x14ac:dyDescent="0.35">
      <c r="B48"/>
      <c r="C48"/>
      <c r="D48"/>
      <c r="E48"/>
      <c r="F48"/>
      <c r="G48"/>
      <c r="H48"/>
      <c r="I48"/>
      <c r="J48"/>
      <c r="K48"/>
      <c r="L48"/>
      <c r="M48"/>
      <c r="N48"/>
      <c r="O48"/>
      <c r="P48"/>
      <c r="Q48"/>
      <c r="R48"/>
      <c r="S48"/>
      <c r="T48"/>
      <c r="U48"/>
    </row>
    <row r="49" spans="2:21" s="1" customFormat="1" ht="34" customHeight="1" x14ac:dyDescent="0.35">
      <c r="B49"/>
      <c r="C49"/>
      <c r="D49"/>
      <c r="E49"/>
      <c r="F49"/>
      <c r="G49"/>
      <c r="H49"/>
      <c r="I49"/>
      <c r="J49"/>
      <c r="K49"/>
      <c r="L49"/>
      <c r="M49"/>
      <c r="N49"/>
      <c r="O49"/>
      <c r="P49"/>
      <c r="Q49"/>
      <c r="R49"/>
      <c r="S49"/>
      <c r="T49"/>
      <c r="U49"/>
    </row>
    <row r="50" spans="2:21" s="1" customFormat="1" ht="34" customHeight="1" x14ac:dyDescent="0.35">
      <c r="B50"/>
      <c r="C50"/>
      <c r="D50"/>
      <c r="E50"/>
      <c r="F50"/>
      <c r="G50"/>
      <c r="H50"/>
      <c r="I50"/>
      <c r="J50"/>
      <c r="K50"/>
      <c r="L50"/>
      <c r="M50"/>
      <c r="N50"/>
      <c r="O50"/>
      <c r="P50"/>
      <c r="Q50"/>
      <c r="R50"/>
      <c r="S50"/>
      <c r="T50"/>
      <c r="U50"/>
    </row>
    <row r="51" spans="2:21" s="1" customFormat="1" ht="34" customHeight="1" x14ac:dyDescent="0.35">
      <c r="B51"/>
      <c r="C51"/>
      <c r="D51"/>
      <c r="E51"/>
      <c r="F51"/>
      <c r="G51"/>
      <c r="H51"/>
      <c r="I51"/>
      <c r="J51"/>
      <c r="K51"/>
      <c r="L51"/>
      <c r="M51"/>
      <c r="N51"/>
      <c r="O51"/>
      <c r="P51"/>
      <c r="Q51"/>
      <c r="R51"/>
      <c r="S51"/>
      <c r="T51"/>
      <c r="U51"/>
    </row>
    <row r="52" spans="2:21" s="1" customFormat="1" ht="34" customHeight="1" x14ac:dyDescent="0.35">
      <c r="B52"/>
      <c r="C52"/>
      <c r="D52"/>
      <c r="E52"/>
      <c r="F52"/>
      <c r="G52"/>
      <c r="H52"/>
      <c r="I52"/>
      <c r="J52"/>
      <c r="K52"/>
      <c r="L52"/>
      <c r="M52"/>
      <c r="N52"/>
      <c r="O52"/>
      <c r="P52"/>
      <c r="Q52"/>
      <c r="R52"/>
      <c r="S52"/>
      <c r="T52"/>
      <c r="U52"/>
    </row>
    <row r="53" spans="2:21" s="1" customFormat="1" ht="34" customHeight="1" x14ac:dyDescent="0.35">
      <c r="B53"/>
      <c r="C53"/>
      <c r="D53"/>
      <c r="E53"/>
      <c r="F53"/>
      <c r="G53"/>
      <c r="H53"/>
      <c r="I53"/>
      <c r="J53"/>
      <c r="K53"/>
      <c r="L53"/>
      <c r="M53"/>
      <c r="N53"/>
      <c r="O53"/>
      <c r="P53"/>
      <c r="Q53"/>
      <c r="R53"/>
      <c r="S53"/>
      <c r="T53"/>
      <c r="U53"/>
    </row>
    <row r="54" spans="2:21" s="1" customFormat="1" ht="34" customHeight="1" x14ac:dyDescent="0.35">
      <c r="B54"/>
      <c r="C54"/>
      <c r="D54"/>
      <c r="E54"/>
      <c r="F54"/>
      <c r="G54"/>
      <c r="H54"/>
      <c r="I54"/>
      <c r="J54"/>
      <c r="K54"/>
      <c r="L54"/>
      <c r="M54"/>
      <c r="N54"/>
      <c r="O54"/>
      <c r="P54"/>
      <c r="Q54"/>
      <c r="R54"/>
      <c r="S54"/>
      <c r="T54"/>
      <c r="U54"/>
    </row>
    <row r="55" spans="2:21" s="1" customFormat="1" ht="34" customHeight="1" x14ac:dyDescent="0.35">
      <c r="B55"/>
      <c r="C55"/>
      <c r="D55"/>
      <c r="E55"/>
      <c r="F55"/>
      <c r="G55"/>
      <c r="H55"/>
      <c r="I55"/>
      <c r="J55"/>
      <c r="K55"/>
      <c r="L55"/>
      <c r="M55"/>
      <c r="N55"/>
      <c r="O55"/>
      <c r="P55"/>
      <c r="Q55"/>
      <c r="R55"/>
      <c r="S55"/>
      <c r="T55"/>
      <c r="U55"/>
    </row>
    <row r="56" spans="2:21" s="1" customFormat="1" ht="34" customHeight="1" x14ac:dyDescent="0.35">
      <c r="B56"/>
      <c r="C56"/>
      <c r="D56"/>
      <c r="E56"/>
      <c r="F56"/>
      <c r="G56"/>
      <c r="H56"/>
      <c r="I56"/>
      <c r="J56"/>
      <c r="K56"/>
      <c r="L56"/>
      <c r="M56"/>
      <c r="N56"/>
      <c r="O56"/>
      <c r="P56"/>
      <c r="Q56"/>
      <c r="R56"/>
      <c r="S56"/>
      <c r="T56"/>
      <c r="U56"/>
    </row>
    <row r="57" spans="2:21" s="1" customFormat="1" ht="34" customHeight="1" x14ac:dyDescent="0.35">
      <c r="B57"/>
      <c r="C57"/>
      <c r="D57"/>
      <c r="E57"/>
      <c r="F57"/>
      <c r="G57"/>
      <c r="H57"/>
      <c r="I57"/>
      <c r="J57"/>
      <c r="K57"/>
      <c r="L57"/>
      <c r="M57"/>
      <c r="N57"/>
      <c r="O57"/>
      <c r="P57"/>
      <c r="Q57"/>
      <c r="R57"/>
      <c r="S57"/>
      <c r="T57"/>
      <c r="U57"/>
    </row>
    <row r="58" spans="2:21" s="1" customFormat="1" ht="34" customHeight="1" x14ac:dyDescent="0.35">
      <c r="B58"/>
      <c r="C58"/>
      <c r="D58"/>
      <c r="E58"/>
      <c r="F58"/>
      <c r="G58"/>
      <c r="H58"/>
      <c r="I58"/>
      <c r="J58"/>
      <c r="K58"/>
      <c r="L58"/>
      <c r="M58"/>
      <c r="N58"/>
      <c r="O58"/>
      <c r="P58"/>
      <c r="Q58"/>
      <c r="R58"/>
      <c r="S58"/>
      <c r="T58"/>
      <c r="U58"/>
    </row>
    <row r="59" spans="2:21" s="1" customFormat="1" ht="34" customHeight="1" x14ac:dyDescent="0.35">
      <c r="B59"/>
      <c r="C59"/>
      <c r="D59"/>
      <c r="E59"/>
      <c r="F59"/>
      <c r="G59"/>
      <c r="H59"/>
      <c r="I59"/>
      <c r="J59"/>
      <c r="K59"/>
      <c r="L59"/>
      <c r="M59"/>
      <c r="N59"/>
      <c r="O59"/>
      <c r="P59"/>
      <c r="Q59"/>
      <c r="R59"/>
      <c r="S59"/>
      <c r="T59"/>
      <c r="U59"/>
    </row>
    <row r="60" spans="2:21" s="1" customFormat="1" ht="34" customHeight="1" x14ac:dyDescent="0.35">
      <c r="B60"/>
      <c r="C60"/>
      <c r="D60"/>
      <c r="E60"/>
      <c r="F60"/>
      <c r="G60"/>
      <c r="H60"/>
      <c r="I60"/>
      <c r="J60"/>
      <c r="K60"/>
      <c r="L60"/>
      <c r="M60"/>
      <c r="N60"/>
      <c r="O60"/>
      <c r="P60"/>
      <c r="Q60"/>
      <c r="R60"/>
      <c r="S60"/>
      <c r="T60"/>
      <c r="U60"/>
    </row>
    <row r="61" spans="2:21" s="1" customFormat="1" ht="34" customHeight="1" x14ac:dyDescent="0.35">
      <c r="B61"/>
      <c r="C61"/>
      <c r="D61"/>
      <c r="E61"/>
      <c r="F61"/>
      <c r="G61"/>
      <c r="H61"/>
      <c r="I61"/>
      <c r="J61"/>
      <c r="K61"/>
      <c r="L61"/>
      <c r="M61"/>
      <c r="N61"/>
      <c r="O61"/>
      <c r="P61"/>
      <c r="Q61"/>
      <c r="R61"/>
      <c r="S61"/>
      <c r="T61"/>
      <c r="U61"/>
    </row>
    <row r="62" spans="2:21" s="1" customFormat="1" ht="34" customHeight="1" x14ac:dyDescent="0.35">
      <c r="B62"/>
      <c r="C62"/>
      <c r="D62"/>
      <c r="E62"/>
      <c r="F62"/>
      <c r="G62"/>
      <c r="H62"/>
      <c r="I62"/>
      <c r="J62"/>
      <c r="K62"/>
      <c r="L62"/>
      <c r="M62"/>
      <c r="N62"/>
      <c r="O62"/>
      <c r="P62"/>
      <c r="Q62"/>
      <c r="R62"/>
      <c r="S62"/>
      <c r="T62"/>
      <c r="U62"/>
    </row>
    <row r="63" spans="2:21" s="1" customFormat="1" ht="34" customHeight="1" x14ac:dyDescent="0.35">
      <c r="B63"/>
      <c r="C63"/>
      <c r="D63"/>
      <c r="E63"/>
      <c r="F63"/>
      <c r="G63"/>
      <c r="H63"/>
      <c r="I63"/>
      <c r="J63"/>
      <c r="K63"/>
      <c r="L63"/>
      <c r="M63"/>
      <c r="N63"/>
      <c r="O63"/>
      <c r="P63"/>
      <c r="Q63"/>
      <c r="R63"/>
      <c r="S63"/>
      <c r="T63"/>
      <c r="U63"/>
    </row>
    <row r="64" spans="2:21" s="1" customFormat="1" ht="34" customHeight="1" x14ac:dyDescent="0.35">
      <c r="B64"/>
      <c r="C64"/>
      <c r="D64"/>
      <c r="E64"/>
      <c r="F64"/>
      <c r="G64"/>
      <c r="H64"/>
      <c r="I64"/>
      <c r="J64"/>
      <c r="K64"/>
      <c r="L64"/>
      <c r="M64"/>
      <c r="N64"/>
      <c r="O64"/>
      <c r="P64"/>
      <c r="Q64"/>
      <c r="R64"/>
      <c r="S64"/>
      <c r="T64"/>
      <c r="U64"/>
    </row>
    <row r="65" spans="2:21" s="1" customFormat="1" ht="34" customHeight="1" x14ac:dyDescent="0.35">
      <c r="B65"/>
      <c r="C65"/>
      <c r="D65"/>
      <c r="E65"/>
      <c r="F65"/>
      <c r="G65"/>
      <c r="H65"/>
      <c r="I65"/>
      <c r="J65"/>
      <c r="K65"/>
      <c r="L65"/>
      <c r="M65"/>
      <c r="N65"/>
      <c r="O65"/>
      <c r="P65"/>
      <c r="Q65"/>
      <c r="R65"/>
      <c r="S65"/>
      <c r="T65"/>
      <c r="U65"/>
    </row>
    <row r="66" spans="2:21" s="1" customFormat="1" ht="34" customHeight="1" x14ac:dyDescent="0.35">
      <c r="B66"/>
      <c r="C66"/>
      <c r="D66"/>
      <c r="E66"/>
      <c r="F66"/>
      <c r="G66"/>
      <c r="H66"/>
      <c r="I66"/>
      <c r="J66"/>
      <c r="K66"/>
      <c r="L66"/>
      <c r="M66"/>
      <c r="N66"/>
      <c r="O66"/>
      <c r="P66"/>
      <c r="Q66"/>
      <c r="R66"/>
      <c r="S66"/>
      <c r="T66"/>
      <c r="U66"/>
    </row>
    <row r="67" spans="2:21" s="1" customFormat="1" ht="34" customHeight="1" x14ac:dyDescent="0.35">
      <c r="B67"/>
      <c r="C67"/>
      <c r="D67"/>
      <c r="E67"/>
      <c r="F67"/>
      <c r="G67"/>
      <c r="H67"/>
      <c r="I67"/>
      <c r="J67"/>
      <c r="K67"/>
      <c r="L67"/>
      <c r="M67"/>
      <c r="N67"/>
      <c r="O67"/>
      <c r="P67"/>
      <c r="Q67"/>
      <c r="R67"/>
      <c r="S67"/>
      <c r="T67"/>
      <c r="U67"/>
    </row>
    <row r="68" spans="2:21" s="1" customFormat="1" ht="34" customHeight="1" x14ac:dyDescent="0.35">
      <c r="B68"/>
      <c r="C68"/>
      <c r="D68"/>
      <c r="E68"/>
      <c r="F68"/>
      <c r="G68"/>
      <c r="H68"/>
      <c r="I68"/>
      <c r="J68"/>
      <c r="K68"/>
      <c r="L68"/>
      <c r="M68"/>
      <c r="N68"/>
      <c r="O68"/>
      <c r="P68"/>
      <c r="Q68"/>
      <c r="R68"/>
      <c r="S68"/>
      <c r="T68"/>
      <c r="U68"/>
    </row>
    <row r="69" spans="2:21" s="1" customFormat="1" ht="34" customHeight="1" x14ac:dyDescent="0.35">
      <c r="B69"/>
      <c r="C69"/>
      <c r="D69"/>
      <c r="E69"/>
      <c r="F69"/>
      <c r="G69"/>
      <c r="H69"/>
      <c r="I69"/>
      <c r="J69"/>
      <c r="K69"/>
      <c r="L69"/>
      <c r="M69"/>
      <c r="N69"/>
      <c r="O69"/>
      <c r="P69"/>
      <c r="Q69"/>
      <c r="R69"/>
      <c r="S69"/>
      <c r="T69"/>
      <c r="U69"/>
    </row>
    <row r="70" spans="2:21" s="1" customFormat="1" ht="34" customHeight="1" x14ac:dyDescent="0.35">
      <c r="B70"/>
      <c r="C70"/>
      <c r="D70"/>
      <c r="E70"/>
      <c r="F70"/>
      <c r="G70"/>
      <c r="H70"/>
      <c r="I70"/>
      <c r="J70"/>
      <c r="K70"/>
      <c r="L70"/>
      <c r="M70"/>
      <c r="N70"/>
      <c r="O70"/>
      <c r="P70"/>
      <c r="Q70"/>
      <c r="R70"/>
      <c r="S70"/>
      <c r="T70"/>
      <c r="U70"/>
    </row>
    <row r="71" spans="2:21" s="1" customFormat="1" ht="34" customHeight="1" x14ac:dyDescent="0.35">
      <c r="B71"/>
      <c r="C71"/>
      <c r="D71"/>
      <c r="E71"/>
      <c r="F71"/>
      <c r="G71"/>
      <c r="H71"/>
      <c r="I71"/>
      <c r="J71"/>
      <c r="K71"/>
      <c r="L71"/>
      <c r="M71"/>
      <c r="N71"/>
      <c r="O71"/>
      <c r="P71"/>
      <c r="Q71"/>
      <c r="R71"/>
      <c r="S71"/>
      <c r="T71"/>
      <c r="U71"/>
    </row>
    <row r="72" spans="2:21" s="1" customFormat="1" ht="34" customHeight="1" x14ac:dyDescent="0.35">
      <c r="B72"/>
      <c r="C72"/>
      <c r="D72"/>
      <c r="E72"/>
      <c r="F72"/>
      <c r="G72"/>
      <c r="H72"/>
      <c r="I72"/>
      <c r="J72"/>
      <c r="K72"/>
      <c r="L72"/>
      <c r="M72"/>
      <c r="N72"/>
      <c r="O72"/>
      <c r="P72"/>
      <c r="Q72"/>
      <c r="R72"/>
      <c r="S72"/>
      <c r="T72"/>
      <c r="U72"/>
    </row>
    <row r="73" spans="2:21" s="1" customFormat="1" ht="34" customHeight="1" x14ac:dyDescent="0.35">
      <c r="B73"/>
      <c r="C73"/>
      <c r="D73"/>
      <c r="E73"/>
      <c r="F73"/>
      <c r="G73"/>
      <c r="H73"/>
      <c r="I73"/>
      <c r="J73"/>
      <c r="K73"/>
      <c r="L73"/>
      <c r="M73"/>
      <c r="N73"/>
      <c r="O73"/>
      <c r="P73"/>
      <c r="Q73"/>
      <c r="R73"/>
      <c r="S73"/>
      <c r="T73"/>
      <c r="U73"/>
    </row>
    <row r="74" spans="2:21" s="1" customFormat="1" ht="34" customHeight="1" x14ac:dyDescent="0.35">
      <c r="B74"/>
      <c r="C74"/>
      <c r="D74"/>
      <c r="E74"/>
      <c r="F74"/>
      <c r="G74"/>
      <c r="H74"/>
      <c r="I74"/>
      <c r="J74"/>
      <c r="K74"/>
      <c r="L74"/>
      <c r="M74"/>
      <c r="N74"/>
      <c r="O74"/>
      <c r="P74"/>
      <c r="Q74"/>
      <c r="R74"/>
      <c r="S74"/>
      <c r="T74"/>
      <c r="U74"/>
    </row>
    <row r="75" spans="2:21" s="1" customFormat="1" ht="34" customHeight="1" x14ac:dyDescent="0.35">
      <c r="B75"/>
      <c r="C75"/>
      <c r="D75"/>
      <c r="E75"/>
      <c r="F75"/>
      <c r="G75"/>
      <c r="H75"/>
      <c r="I75"/>
      <c r="J75"/>
      <c r="K75"/>
      <c r="L75"/>
      <c r="M75"/>
      <c r="N75"/>
      <c r="O75"/>
      <c r="P75"/>
      <c r="Q75"/>
      <c r="R75"/>
      <c r="S75"/>
      <c r="T75"/>
      <c r="U75"/>
    </row>
    <row r="76" spans="2:21" s="1" customFormat="1" ht="34" customHeight="1" x14ac:dyDescent="0.35">
      <c r="B76"/>
      <c r="C76"/>
      <c r="D76"/>
      <c r="E76"/>
      <c r="F76"/>
      <c r="G76"/>
      <c r="H76"/>
      <c r="I76"/>
      <c r="J76"/>
      <c r="K76"/>
      <c r="L76"/>
      <c r="M76"/>
      <c r="N76"/>
      <c r="O76"/>
      <c r="P76"/>
      <c r="Q76"/>
      <c r="R76"/>
      <c r="S76"/>
      <c r="T76"/>
      <c r="U76"/>
    </row>
    <row r="77" spans="2:21" s="1" customFormat="1" ht="34" customHeight="1" x14ac:dyDescent="0.35">
      <c r="B77"/>
      <c r="C77"/>
      <c r="D77"/>
      <c r="E77"/>
      <c r="F77"/>
      <c r="G77"/>
      <c r="H77"/>
      <c r="I77"/>
      <c r="J77"/>
      <c r="K77"/>
      <c r="L77"/>
      <c r="M77"/>
      <c r="N77"/>
      <c r="O77"/>
      <c r="P77"/>
      <c r="Q77"/>
      <c r="R77"/>
      <c r="S77"/>
      <c r="T77"/>
      <c r="U77"/>
    </row>
    <row r="78" spans="2:21" s="1" customFormat="1" ht="34" customHeight="1" x14ac:dyDescent="0.35">
      <c r="B78"/>
      <c r="C78"/>
      <c r="D78"/>
      <c r="E78"/>
      <c r="F78"/>
      <c r="G78"/>
      <c r="H78"/>
      <c r="I78"/>
      <c r="J78"/>
      <c r="K78"/>
      <c r="L78"/>
      <c r="M78"/>
      <c r="N78"/>
      <c r="O78"/>
      <c r="P78"/>
      <c r="Q78"/>
      <c r="R78"/>
      <c r="S78"/>
      <c r="T78"/>
      <c r="U78"/>
    </row>
    <row r="79" spans="2:21" ht="34" customHeight="1" x14ac:dyDescent="0.35"/>
    <row r="80" spans="2:21" ht="34" customHeight="1" x14ac:dyDescent="0.35"/>
    <row r="81" ht="34" customHeight="1" x14ac:dyDescent="0.35"/>
    <row r="82" ht="34" customHeight="1" x14ac:dyDescent="0.35"/>
    <row r="83" ht="34" customHeight="1" x14ac:dyDescent="0.35"/>
    <row r="84" ht="34" customHeight="1" x14ac:dyDescent="0.35"/>
    <row r="85" ht="34" customHeight="1" x14ac:dyDescent="0.35"/>
    <row r="86" ht="34" customHeight="1" x14ac:dyDescent="0.35"/>
    <row r="87" ht="34" customHeight="1" x14ac:dyDescent="0.35"/>
    <row r="88" ht="34" customHeight="1" x14ac:dyDescent="0.35"/>
    <row r="89" ht="34" customHeight="1" x14ac:dyDescent="0.35"/>
    <row r="90" ht="34" customHeight="1" x14ac:dyDescent="0.35"/>
    <row r="91" ht="34" customHeight="1" x14ac:dyDescent="0.35"/>
    <row r="92" ht="34" customHeight="1" x14ac:dyDescent="0.35"/>
    <row r="93" ht="34" customHeight="1" x14ac:dyDescent="0.35"/>
    <row r="94" ht="34" customHeight="1" x14ac:dyDescent="0.35"/>
    <row r="95" ht="34" customHeight="1" x14ac:dyDescent="0.35"/>
    <row r="96" ht="34" customHeight="1" x14ac:dyDescent="0.35"/>
    <row r="97" ht="34" customHeight="1" x14ac:dyDescent="0.35"/>
    <row r="98" ht="34" customHeight="1" x14ac:dyDescent="0.35"/>
    <row r="99" ht="34" customHeight="1" x14ac:dyDescent="0.35"/>
    <row r="100" ht="34" customHeight="1" x14ac:dyDescent="0.35"/>
    <row r="101" ht="34" customHeight="1" x14ac:dyDescent="0.35"/>
    <row r="102" ht="34" customHeight="1" x14ac:dyDescent="0.35"/>
    <row r="103" ht="34" customHeight="1" x14ac:dyDescent="0.35"/>
    <row r="104" ht="34" customHeight="1" x14ac:dyDescent="0.35"/>
    <row r="105" ht="34" customHeight="1" x14ac:dyDescent="0.35"/>
    <row r="106" ht="34" customHeight="1" x14ac:dyDescent="0.35"/>
    <row r="107" ht="34" customHeight="1" x14ac:dyDescent="0.35"/>
    <row r="108" ht="34" customHeight="1" x14ac:dyDescent="0.35"/>
    <row r="109" ht="34" customHeight="1" x14ac:dyDescent="0.35"/>
    <row r="110" ht="34" customHeight="1" x14ac:dyDescent="0.35"/>
    <row r="111" ht="34" customHeight="1" x14ac:dyDescent="0.35"/>
    <row r="112" ht="34" customHeight="1" x14ac:dyDescent="0.35"/>
    <row r="113" ht="34" customHeight="1" x14ac:dyDescent="0.35"/>
    <row r="114" ht="34" customHeight="1" x14ac:dyDescent="0.35"/>
    <row r="115" ht="34" customHeight="1" x14ac:dyDescent="0.35"/>
    <row r="116" ht="34" customHeight="1" x14ac:dyDescent="0.35"/>
    <row r="117" ht="34" customHeight="1" x14ac:dyDescent="0.35"/>
    <row r="118" ht="34" customHeight="1" x14ac:dyDescent="0.35"/>
    <row r="119" ht="34" customHeight="1" x14ac:dyDescent="0.35"/>
    <row r="120" ht="34" customHeight="1" x14ac:dyDescent="0.35"/>
    <row r="121" ht="34" customHeight="1" x14ac:dyDescent="0.35"/>
    <row r="122" ht="34" customHeight="1" x14ac:dyDescent="0.35"/>
    <row r="123" ht="34" customHeight="1" x14ac:dyDescent="0.35"/>
    <row r="124" ht="34" customHeight="1" x14ac:dyDescent="0.35"/>
    <row r="125" ht="34" customHeight="1" x14ac:dyDescent="0.35"/>
    <row r="126" ht="34" customHeight="1" x14ac:dyDescent="0.35"/>
    <row r="127" ht="34" customHeight="1" x14ac:dyDescent="0.35"/>
    <row r="128" ht="33.75" customHeight="1" x14ac:dyDescent="0.35"/>
    <row r="129" ht="33.75" customHeight="1" x14ac:dyDescent="0.35"/>
    <row r="130" ht="33.75" customHeight="1" x14ac:dyDescent="0.35"/>
    <row r="131" ht="33.75" customHeight="1" x14ac:dyDescent="0.35"/>
    <row r="132" ht="33.75" customHeight="1" x14ac:dyDescent="0.35"/>
    <row r="133" ht="33.75" customHeight="1" x14ac:dyDescent="0.35"/>
    <row r="134" ht="33.75" customHeight="1" x14ac:dyDescent="0.35"/>
    <row r="135" ht="33.75" customHeight="1" x14ac:dyDescent="0.35"/>
    <row r="136" ht="33.75" customHeight="1" x14ac:dyDescent="0.35"/>
    <row r="137" ht="33.75" customHeight="1" x14ac:dyDescent="0.35"/>
    <row r="138" ht="33.75" customHeight="1" x14ac:dyDescent="0.35"/>
    <row r="139" ht="33.75" customHeight="1" x14ac:dyDescent="0.35"/>
    <row r="140" ht="33.75" customHeight="1" x14ac:dyDescent="0.35"/>
    <row r="141" ht="33.75" customHeight="1" x14ac:dyDescent="0.35"/>
    <row r="142" ht="33.75" customHeight="1" x14ac:dyDescent="0.35"/>
    <row r="143" ht="33.75" customHeight="1" x14ac:dyDescent="0.35"/>
    <row r="144" ht="33.75" customHeight="1" x14ac:dyDescent="0.35"/>
    <row r="145" ht="33.75" customHeight="1" x14ac:dyDescent="0.35"/>
    <row r="146" ht="33.75" customHeight="1" x14ac:dyDescent="0.35"/>
    <row r="147" ht="33.75" customHeight="1" x14ac:dyDescent="0.35"/>
    <row r="148" ht="33.75" customHeight="1" x14ac:dyDescent="0.35"/>
    <row r="149" ht="33.75" customHeight="1" x14ac:dyDescent="0.35"/>
    <row r="150" ht="33.75" customHeight="1" x14ac:dyDescent="0.35"/>
    <row r="151" ht="33.75" customHeight="1" x14ac:dyDescent="0.35"/>
    <row r="152" ht="33.75" customHeight="1" x14ac:dyDescent="0.35"/>
    <row r="153" ht="33.75" customHeight="1" x14ac:dyDescent="0.35"/>
    <row r="154" ht="33.75" customHeight="1" x14ac:dyDescent="0.35"/>
    <row r="155" ht="33.75" customHeight="1" x14ac:dyDescent="0.35"/>
    <row r="156" ht="33.75" customHeight="1" x14ac:dyDescent="0.35"/>
    <row r="157" ht="33.75" customHeight="1" x14ac:dyDescent="0.35"/>
    <row r="158" ht="33.75" customHeight="1" x14ac:dyDescent="0.35"/>
    <row r="159" ht="33.75" customHeight="1" x14ac:dyDescent="0.35"/>
    <row r="160" ht="33.75" customHeight="1" x14ac:dyDescent="0.35"/>
    <row r="161" spans="3:8" ht="33.75" customHeight="1" x14ac:dyDescent="0.35"/>
    <row r="162" spans="3:8" ht="33.75" customHeight="1" x14ac:dyDescent="0.35"/>
    <row r="163" spans="3:8" ht="33.75" customHeight="1" x14ac:dyDescent="0.35"/>
    <row r="164" spans="3:8" ht="33.75" customHeight="1" x14ac:dyDescent="0.35"/>
    <row r="165" spans="3:8" ht="34" customHeight="1" x14ac:dyDescent="0.35"/>
    <row r="166" spans="3:8" ht="33.75" customHeight="1" x14ac:dyDescent="0.35"/>
    <row r="167" spans="3:8" ht="34" hidden="1" customHeight="1" x14ac:dyDescent="0.35"/>
    <row r="168" spans="3:8" ht="10.5" customHeight="1" x14ac:dyDescent="0.35"/>
    <row r="169" spans="3:8" ht="15" customHeight="1" x14ac:dyDescent="0.35"/>
    <row r="170" spans="3:8" ht="15" hidden="1" customHeight="1" x14ac:dyDescent="0.35">
      <c r="C170" s="6">
        <v>5738</v>
      </c>
      <c r="D170" s="5" t="s">
        <v>1300</v>
      </c>
      <c r="E170" s="4">
        <v>467</v>
      </c>
      <c r="F170" s="7" t="str">
        <f>IF(ISERROR(E170/$E$78),"",E170/$E$78)</f>
        <v/>
      </c>
      <c r="G170" s="349"/>
      <c r="H170" s="349"/>
    </row>
    <row r="171" spans="3:8" ht="0" hidden="1" customHeight="1" x14ac:dyDescent="0.35">
      <c r="C171" s="6">
        <v>5739</v>
      </c>
      <c r="D171" s="5" t="s">
        <v>1301</v>
      </c>
      <c r="E171" s="4">
        <v>45</v>
      </c>
      <c r="F171" s="7" t="str">
        <f>IF(ISERROR(E171/$E$78),"",E171/$E$78)</f>
        <v/>
      </c>
      <c r="G171" s="349"/>
      <c r="H171" s="349"/>
    </row>
    <row r="172" spans="3:8" ht="0" hidden="1" customHeight="1" x14ac:dyDescent="0.35">
      <c r="C172" s="6">
        <v>5718</v>
      </c>
      <c r="D172" s="5" t="s">
        <v>1302</v>
      </c>
      <c r="E172" s="4">
        <v>467</v>
      </c>
      <c r="F172" s="7" t="str">
        <f>IF(ISERROR(E172/$E$68),"",E172/$E$68)</f>
        <v/>
      </c>
      <c r="G172" s="349"/>
      <c r="H172" s="349"/>
    </row>
    <row r="173" spans="3:8" ht="0" hidden="1" customHeight="1" x14ac:dyDescent="0.35">
      <c r="C173" s="6">
        <v>5719</v>
      </c>
      <c r="D173" s="5" t="s">
        <v>1303</v>
      </c>
      <c r="E173" s="4">
        <v>45</v>
      </c>
      <c r="F173" s="7" t="str">
        <f>IF(ISERROR(E173/$E$68),"",E173/$E$68)</f>
        <v/>
      </c>
      <c r="G173" s="349"/>
      <c r="H173" s="349"/>
    </row>
  </sheetData>
  <mergeCells count="21">
    <mergeCell ref="E11:F11"/>
    <mergeCell ref="G11:H11"/>
    <mergeCell ref="G25:H25"/>
    <mergeCell ref="E28:F28"/>
    <mergeCell ref="J13:K13"/>
    <mergeCell ref="E25:F25"/>
    <mergeCell ref="E17:F17"/>
    <mergeCell ref="G4:H4"/>
    <mergeCell ref="G5:H5"/>
    <mergeCell ref="E3:F3"/>
    <mergeCell ref="G3:H3"/>
    <mergeCell ref="E4:F4"/>
    <mergeCell ref="E5:F5"/>
    <mergeCell ref="N4:O4"/>
    <mergeCell ref="N12:O12"/>
    <mergeCell ref="N13:O13"/>
    <mergeCell ref="L3:M3"/>
    <mergeCell ref="N3:O3"/>
    <mergeCell ref="L13:M13"/>
    <mergeCell ref="K4:M4"/>
    <mergeCell ref="J12:M12"/>
  </mergeCells>
  <phoneticPr fontId="24" type="noConversion"/>
  <pageMargins left="0.511811024" right="0.511811024" top="0.78740157499999996" bottom="0.78740157499999996" header="0.31496062000000002" footer="0.3149606200000000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5"/>
  <dimension ref="A1:V167"/>
  <sheetViews>
    <sheetView showGridLines="0" zoomScaleNormal="100" workbookViewId="0">
      <pane xSplit="2" ySplit="1" topLeftCell="C2" activePane="bottomRight" state="frozen"/>
      <selection pane="topRight"/>
      <selection pane="bottomLeft"/>
      <selection pane="bottomRight"/>
    </sheetView>
  </sheetViews>
  <sheetFormatPr defaultColWidth="0" defaultRowHeight="0" customHeight="1" zeroHeight="1" x14ac:dyDescent="0.35"/>
  <cols>
    <col min="1" max="1" width="1.6328125" style="10" customWidth="1"/>
    <col min="2" max="2" width="1.6328125" customWidth="1"/>
    <col min="3" max="3" width="14.90625" customWidth="1"/>
    <col min="4" max="4" width="76" customWidth="1"/>
    <col min="5" max="5" width="23.6328125" customWidth="1"/>
    <col min="6" max="6" width="18.7265625" customWidth="1"/>
    <col min="7" max="7" width="23.90625" customWidth="1"/>
    <col min="8" max="8" width="18.7265625" customWidth="1"/>
    <col min="9" max="9" width="7.81640625" customWidth="1"/>
    <col min="10" max="10" width="14.90625" customWidth="1"/>
    <col min="11" max="11" width="76" customWidth="1"/>
    <col min="12" max="12" width="28.08984375" bestFit="1" customWidth="1"/>
    <col min="13" max="13" width="18.7265625" customWidth="1"/>
    <col min="14" max="14" width="23.90625" style="27" customWidth="1"/>
    <col min="15" max="15" width="18.26953125" style="27" customWidth="1"/>
    <col min="16" max="21" width="20.7265625" style="27" customWidth="1"/>
    <col min="22" max="22" width="0" hidden="1" customWidth="1"/>
    <col min="23" max="16384" width="9.1796875" hidden="1"/>
  </cols>
  <sheetData>
    <row r="1" spans="2:21" s="10" customFormat="1" ht="26.5" customHeight="1" x14ac:dyDescent="0.55000000000000004">
      <c r="B1" s="56"/>
      <c r="C1" s="57"/>
      <c r="N1" s="51"/>
      <c r="O1" s="51"/>
      <c r="P1" s="51"/>
      <c r="Q1" s="51"/>
      <c r="R1" s="51"/>
      <c r="S1" s="51"/>
      <c r="T1" s="51"/>
      <c r="U1" s="51"/>
    </row>
    <row r="2" spans="2:21" s="10" customFormat="1" ht="23.25" customHeight="1" x14ac:dyDescent="0.35">
      <c r="B2" s="537" t="s">
        <v>1242</v>
      </c>
      <c r="N2" s="51"/>
      <c r="O2" s="51"/>
      <c r="P2" s="51"/>
      <c r="Q2" s="51"/>
      <c r="R2" s="51"/>
      <c r="S2" s="51"/>
      <c r="T2" s="51"/>
      <c r="U2" s="51"/>
    </row>
    <row r="3" spans="2:21" ht="18.649999999999999" customHeight="1" thickBot="1" x14ac:dyDescent="0.4">
      <c r="E3" s="694" t="s">
        <v>1243</v>
      </c>
      <c r="F3" s="694"/>
      <c r="G3" s="696" t="s">
        <v>1244</v>
      </c>
      <c r="H3" s="696"/>
      <c r="L3" s="694" t="s">
        <v>1243</v>
      </c>
      <c r="M3" s="694"/>
      <c r="N3" s="704" t="s">
        <v>1244</v>
      </c>
      <c r="O3" s="704"/>
    </row>
    <row r="4" spans="2:21" ht="30" customHeight="1" thickTop="1" thickBot="1" x14ac:dyDescent="0.4">
      <c r="C4" s="92" t="s">
        <v>281</v>
      </c>
      <c r="D4" s="92" t="s">
        <v>1304</v>
      </c>
      <c r="E4" s="663">
        <f>IF(ISERROR($E$5+$E$11+$E$21+$E$31+$E$37+$E$41+$E$51),"",$E$5+$E$11+$E$21+$E$31+$E$37+$E$41+$E$51)</f>
        <v>0</v>
      </c>
      <c r="F4" s="664"/>
      <c r="G4" s="663">
        <f>IF(ISERROR($G$5+$G$11+$G$21+$G$31+$G$37+$G$41+$G$51),"",$G$5+$G$11+$G$21+$G$31+$G$37+$G$41+$G$51)</f>
        <v>0</v>
      </c>
      <c r="H4" s="664"/>
      <c r="J4" s="92" t="s">
        <v>281</v>
      </c>
      <c r="K4" s="671" t="s">
        <v>1305</v>
      </c>
      <c r="L4" s="672"/>
      <c r="M4" s="673"/>
      <c r="N4" s="671"/>
      <c r="O4" s="672"/>
    </row>
    <row r="5" spans="2:21" ht="30" customHeight="1" thickTop="1" thickBot="1" x14ac:dyDescent="0.4">
      <c r="C5" s="30" t="s">
        <v>283</v>
      </c>
      <c r="D5" s="36" t="s">
        <v>284</v>
      </c>
      <c r="E5" s="701">
        <f>IF(ISERROR(SUM(E6:E10)),"",SUM(E6:E10))</f>
        <v>0</v>
      </c>
      <c r="F5" s="702"/>
      <c r="G5" s="701">
        <f>IF(ISERROR(SUM(G6:G10)),"",SUM(G6:G10))</f>
        <v>0</v>
      </c>
      <c r="H5" s="702"/>
      <c r="J5" s="106" t="str">
        <f>C5</f>
        <v>2.2.1</v>
      </c>
      <c r="K5" s="107" t="str">
        <f>D5</f>
        <v>Empréstimos de médio e longo prazos</v>
      </c>
      <c r="L5" s="99">
        <f>IF(ISERROR($E$5),"",$E$5)</f>
        <v>0</v>
      </c>
      <c r="M5" s="35" t="str">
        <f>IF(ISERROR(L5/$N$5),"",L5/$N$5)</f>
        <v/>
      </c>
      <c r="N5" s="99">
        <f>IF(ISERROR($E$5),"",$E$5)</f>
        <v>0</v>
      </c>
      <c r="O5" s="367"/>
    </row>
    <row r="6" spans="2:21" ht="30" customHeight="1" thickTop="1" thickBot="1" x14ac:dyDescent="0.4">
      <c r="C6" s="34" t="s">
        <v>285</v>
      </c>
      <c r="D6" s="299" t="s">
        <v>286</v>
      </c>
      <c r="E6" s="319"/>
      <c r="F6" s="35" t="str">
        <f>IF(ISERROR(E6/$E$5),"",E6/$E$5)</f>
        <v/>
      </c>
      <c r="G6" s="335"/>
      <c r="H6" s="35"/>
      <c r="J6" s="106" t="str">
        <f>C11</f>
        <v>2.2.2</v>
      </c>
      <c r="K6" s="107" t="str">
        <f>D11</f>
        <v>Impostos diferidos</v>
      </c>
      <c r="L6" s="99">
        <f>IF(ISERROR($E$11),"",$E$11)</f>
        <v>0</v>
      </c>
      <c r="M6" s="35" t="str">
        <f t="shared" ref="M6:M11" si="0">IF(ISERROR(L6/$N$5),"",L6/$N$5)</f>
        <v/>
      </c>
      <c r="N6" s="99">
        <f>IF(ISERROR($E$11),"",$E$11)</f>
        <v>0</v>
      </c>
      <c r="O6" s="367"/>
    </row>
    <row r="7" spans="2:21" ht="30" customHeight="1" thickTop="1" thickBot="1" x14ac:dyDescent="0.4">
      <c r="C7" s="34" t="s">
        <v>288</v>
      </c>
      <c r="D7" s="309" t="s">
        <v>289</v>
      </c>
      <c r="E7" s="329"/>
      <c r="F7" s="35" t="str">
        <f t="shared" ref="F7:F10" si="1">IF(ISERROR(E7/$E$5),"",E7/$E$5)</f>
        <v/>
      </c>
      <c r="G7" s="335"/>
      <c r="H7" s="35"/>
      <c r="J7" s="106" t="str">
        <f>C21</f>
        <v>2.2.3</v>
      </c>
      <c r="K7" s="107" t="str">
        <f>D21</f>
        <v>Provisões para pensões</v>
      </c>
      <c r="L7" s="99">
        <f>IF(ISERROR($E$21),"",$E$21)</f>
        <v>0</v>
      </c>
      <c r="M7" s="35" t="str">
        <f t="shared" si="0"/>
        <v/>
      </c>
      <c r="N7" s="99">
        <f>IF(ISERROR($E$21),"",$E$21)</f>
        <v>0</v>
      </c>
      <c r="O7" s="367"/>
    </row>
    <row r="8" spans="2:21" ht="30" customHeight="1" thickTop="1" thickBot="1" x14ac:dyDescent="0.4">
      <c r="C8" s="34" t="s">
        <v>291</v>
      </c>
      <c r="D8" s="309" t="s">
        <v>292</v>
      </c>
      <c r="E8" s="329"/>
      <c r="F8" s="35" t="str">
        <f t="shared" si="1"/>
        <v/>
      </c>
      <c r="G8" s="335"/>
      <c r="H8" s="35"/>
      <c r="J8" s="106" t="str">
        <f>C31</f>
        <v>2.2.4</v>
      </c>
      <c r="K8" s="107" t="str">
        <f>D31</f>
        <v>Provisões para outros riscos e encagos</v>
      </c>
      <c r="L8" s="99">
        <f>IF(ISERROR($E$31),"",$E$31)</f>
        <v>0</v>
      </c>
      <c r="M8" s="35" t="str">
        <f t="shared" si="0"/>
        <v/>
      </c>
      <c r="N8" s="99">
        <f>IF(ISERROR($G$31),"",$G$31)</f>
        <v>0</v>
      </c>
      <c r="O8" s="367"/>
    </row>
    <row r="9" spans="2:21" ht="30" customHeight="1" thickTop="1" thickBot="1" x14ac:dyDescent="0.4">
      <c r="C9" s="34" t="s">
        <v>294</v>
      </c>
      <c r="D9" s="309" t="s">
        <v>295</v>
      </c>
      <c r="E9" s="329"/>
      <c r="F9" s="35" t="str">
        <f t="shared" si="1"/>
        <v/>
      </c>
      <c r="G9" s="335"/>
      <c r="H9" s="35"/>
      <c r="J9" s="106" t="str">
        <f>C37</f>
        <v>2.2.5</v>
      </c>
      <c r="K9" s="107" t="str">
        <f>D37</f>
        <v>Outros passivos não correntes</v>
      </c>
      <c r="L9" s="99">
        <f>IF(ISERROR($E$37),"",$E$37)</f>
        <v>0</v>
      </c>
      <c r="M9" s="35" t="str">
        <f t="shared" si="0"/>
        <v/>
      </c>
      <c r="N9" s="99">
        <f>IF(ISERROR($E$37),"",$E$37)</f>
        <v>0</v>
      </c>
      <c r="O9" s="367"/>
    </row>
    <row r="10" spans="2:21" ht="30" customHeight="1" thickTop="1" thickBot="1" x14ac:dyDescent="0.4">
      <c r="C10" s="34" t="s">
        <v>1306</v>
      </c>
      <c r="D10" s="326"/>
      <c r="E10" s="329"/>
      <c r="F10" s="35" t="str">
        <f t="shared" si="1"/>
        <v/>
      </c>
      <c r="G10" s="335"/>
      <c r="H10" s="35"/>
      <c r="J10" s="106"/>
      <c r="K10" s="107"/>
      <c r="L10" s="99">
        <f>IF(ISERROR($E$41),"",$E$41)</f>
        <v>0</v>
      </c>
      <c r="M10" s="35" t="str">
        <f t="shared" si="0"/>
        <v/>
      </c>
      <c r="N10" s="99">
        <f>IF(ISERROR($E$41),"",$E$41)</f>
        <v>0</v>
      </c>
      <c r="O10" s="367"/>
    </row>
    <row r="11" spans="2:21" ht="30" customHeight="1" thickTop="1" thickBot="1" x14ac:dyDescent="0.4">
      <c r="C11" s="30" t="s">
        <v>297</v>
      </c>
      <c r="D11" s="37" t="s">
        <v>298</v>
      </c>
      <c r="E11" s="702">
        <f>IF(ISERROR(SUM(E12:E20)),"",SUM(E12:E20))</f>
        <v>0</v>
      </c>
      <c r="F11" s="702"/>
      <c r="G11" s="702">
        <f>IF(ISERROR(SUM(G12:G20)),"",SUM(G12:G20))</f>
        <v>0</v>
      </c>
      <c r="H11" s="702"/>
      <c r="J11" s="106"/>
      <c r="K11" s="107"/>
      <c r="L11" s="99" t="str">
        <f>IF(ISERROR(#REF!),"",#REF!)</f>
        <v/>
      </c>
      <c r="M11" s="35" t="str">
        <f t="shared" si="0"/>
        <v/>
      </c>
      <c r="N11" s="99" t="str">
        <f>IF(ISERROR(#REF!),"",#REF!)</f>
        <v/>
      </c>
      <c r="O11" s="367"/>
    </row>
    <row r="12" spans="2:21" ht="30" customHeight="1" thickTop="1" thickBot="1" x14ac:dyDescent="0.4">
      <c r="C12" s="34" t="s">
        <v>1307</v>
      </c>
      <c r="D12" s="357"/>
      <c r="E12" s="358"/>
      <c r="F12" s="35" t="str">
        <f>IF(ISERROR(E12/$E$11),"",E12/$E$11)</f>
        <v/>
      </c>
      <c r="G12" s="335"/>
      <c r="H12" s="35"/>
    </row>
    <row r="13" spans="2:21" ht="30" customHeight="1" thickTop="1" thickBot="1" x14ac:dyDescent="0.4">
      <c r="C13" s="34" t="s">
        <v>1308</v>
      </c>
      <c r="D13" s="326"/>
      <c r="E13" s="324"/>
      <c r="F13" s="35" t="str">
        <f t="shared" ref="F13:F20" si="2">IF(ISERROR(E13/$E$11),"",E13/$E$11)</f>
        <v/>
      </c>
      <c r="G13" s="335"/>
      <c r="H13" s="35"/>
      <c r="J13" s="705" t="s">
        <v>1309</v>
      </c>
      <c r="K13" s="706"/>
      <c r="L13" s="706"/>
      <c r="M13" s="707"/>
      <c r="N13" s="364"/>
      <c r="O13" s="365"/>
      <c r="P13" s="155"/>
      <c r="Q13" s="366"/>
    </row>
    <row r="14" spans="2:21" ht="30" customHeight="1" thickTop="1" thickBot="1" x14ac:dyDescent="0.4">
      <c r="C14" s="34" t="s">
        <v>1310</v>
      </c>
      <c r="D14" s="326"/>
      <c r="E14" s="324"/>
      <c r="F14" s="35" t="str">
        <f t="shared" si="2"/>
        <v/>
      </c>
      <c r="G14" s="335"/>
      <c r="H14" s="35"/>
      <c r="J14" s="30" t="str">
        <f>C5</f>
        <v>2.2.1</v>
      </c>
      <c r="K14" s="58" t="str">
        <f>D5</f>
        <v>Empréstimos de médio e longo prazos</v>
      </c>
      <c r="L14" s="104">
        <f>IF(ISERROR($E$5),"",$E$5)</f>
        <v>0</v>
      </c>
      <c r="M14" s="35" t="str">
        <f>IF(ISERROR(L14/$L$23),"",L14/$L$23)</f>
        <v/>
      </c>
      <c r="N14" s="368"/>
      <c r="O14" s="367"/>
    </row>
    <row r="15" spans="2:21" ht="30" customHeight="1" thickTop="1" thickBot="1" x14ac:dyDescent="0.4">
      <c r="C15" s="34" t="s">
        <v>1311</v>
      </c>
      <c r="D15" s="326"/>
      <c r="E15" s="324"/>
      <c r="F15" s="35" t="str">
        <f t="shared" si="2"/>
        <v/>
      </c>
      <c r="G15" s="335"/>
      <c r="H15" s="35"/>
      <c r="J15" s="30" t="str">
        <f>C11</f>
        <v>2.2.2</v>
      </c>
      <c r="K15" s="58" t="str">
        <f>D11</f>
        <v>Impostos diferidos</v>
      </c>
      <c r="L15" s="104">
        <f>IF(ISERROR($E$11),"",$E$11)</f>
        <v>0</v>
      </c>
      <c r="M15" s="35" t="str">
        <f t="shared" ref="M15:M22" si="3">IF(ISERROR(L15/$L$23),"",L15/$L$23)</f>
        <v/>
      </c>
      <c r="N15" s="368"/>
      <c r="O15" s="367"/>
    </row>
    <row r="16" spans="2:21" ht="30" customHeight="1" thickTop="1" thickBot="1" x14ac:dyDescent="0.4">
      <c r="C16" s="34" t="s">
        <v>1312</v>
      </c>
      <c r="D16" s="326"/>
      <c r="E16" s="324"/>
      <c r="F16" s="35" t="str">
        <f t="shared" si="2"/>
        <v/>
      </c>
      <c r="G16" s="335"/>
      <c r="H16" s="35"/>
      <c r="J16" s="30" t="str">
        <f>C21</f>
        <v>2.2.3</v>
      </c>
      <c r="K16" s="58" t="str">
        <f>D21</f>
        <v>Provisões para pensões</v>
      </c>
      <c r="L16" s="104">
        <f>IF(ISERROR($E$21),"",$E$21)</f>
        <v>0</v>
      </c>
      <c r="M16" s="35" t="str">
        <f t="shared" si="3"/>
        <v/>
      </c>
      <c r="N16" s="368"/>
      <c r="O16" s="367"/>
    </row>
    <row r="17" spans="3:15" ht="30" customHeight="1" thickTop="1" thickBot="1" x14ac:dyDescent="0.4">
      <c r="C17" s="34" t="s">
        <v>1313</v>
      </c>
      <c r="D17" s="326"/>
      <c r="E17" s="324"/>
      <c r="F17" s="35" t="str">
        <f t="shared" si="2"/>
        <v/>
      </c>
      <c r="G17" s="335"/>
      <c r="H17" s="35"/>
      <c r="J17" s="30" t="str">
        <f>C31</f>
        <v>2.2.4</v>
      </c>
      <c r="K17" s="58" t="str">
        <f>D31</f>
        <v>Provisões para outros riscos e encagos</v>
      </c>
      <c r="L17" s="104">
        <f>IF(ISERROR($E$31),"",$E$31)</f>
        <v>0</v>
      </c>
      <c r="M17" s="35" t="str">
        <f t="shared" si="3"/>
        <v/>
      </c>
      <c r="N17" s="104">
        <f>IF(ISERROR($G$31),"",$G$31)</f>
        <v>0</v>
      </c>
      <c r="O17" s="367"/>
    </row>
    <row r="18" spans="3:15" ht="30" customHeight="1" thickTop="1" thickBot="1" x14ac:dyDescent="0.4">
      <c r="C18" s="34" t="s">
        <v>1314</v>
      </c>
      <c r="D18" s="326"/>
      <c r="E18" s="324"/>
      <c r="F18" s="35" t="str">
        <f t="shared" si="2"/>
        <v/>
      </c>
      <c r="G18" s="335"/>
      <c r="H18" s="35"/>
      <c r="J18" s="30" t="str">
        <f>C37</f>
        <v>2.2.5</v>
      </c>
      <c r="K18" s="58" t="str">
        <f>D37</f>
        <v>Outros passivos não correntes</v>
      </c>
      <c r="L18" s="104">
        <f>IF(ISERROR($E$37),"",$E$37)</f>
        <v>0</v>
      </c>
      <c r="M18" s="35" t="str">
        <f t="shared" si="3"/>
        <v/>
      </c>
      <c r="N18" s="368"/>
      <c r="O18" s="367"/>
    </row>
    <row r="19" spans="3:15" ht="30" customHeight="1" thickTop="1" thickBot="1" x14ac:dyDescent="0.4">
      <c r="C19" s="34" t="s">
        <v>1315</v>
      </c>
      <c r="D19" s="326"/>
      <c r="E19" s="324"/>
      <c r="F19" s="35" t="str">
        <f t="shared" si="2"/>
        <v/>
      </c>
      <c r="G19" s="335"/>
      <c r="H19" s="35"/>
      <c r="J19" s="30"/>
      <c r="K19" s="58"/>
      <c r="L19" s="104">
        <f>IF(ISERROR($E$41),"",$E$41)</f>
        <v>0</v>
      </c>
      <c r="M19" s="35" t="str">
        <f t="shared" si="3"/>
        <v/>
      </c>
      <c r="N19" s="368"/>
      <c r="O19" s="367"/>
    </row>
    <row r="20" spans="3:15" ht="30" customHeight="1" thickTop="1" thickBot="1" x14ac:dyDescent="0.4">
      <c r="C20" s="34" t="s">
        <v>1316</v>
      </c>
      <c r="D20" s="326"/>
      <c r="E20" s="324"/>
      <c r="F20" s="35" t="str">
        <f t="shared" si="2"/>
        <v/>
      </c>
      <c r="G20" s="335"/>
      <c r="H20" s="35"/>
      <c r="J20" s="30"/>
      <c r="K20" s="58"/>
      <c r="L20" s="104">
        <f>IF(ISERROR($E$51),"",$E$51)</f>
        <v>0</v>
      </c>
      <c r="M20" s="35" t="str">
        <f t="shared" si="3"/>
        <v/>
      </c>
      <c r="N20" s="368"/>
      <c r="O20" s="367"/>
    </row>
    <row r="21" spans="3:15" ht="30" customHeight="1" thickTop="1" thickBot="1" x14ac:dyDescent="0.4">
      <c r="C21" s="30" t="s">
        <v>299</v>
      </c>
      <c r="D21" s="37" t="s">
        <v>300</v>
      </c>
      <c r="E21" s="702">
        <f>IF(ISERROR(SUM(E22:E30)),"",SUM(E22:E30))</f>
        <v>0</v>
      </c>
      <c r="F21" s="702"/>
      <c r="G21" s="348"/>
      <c r="H21" s="348"/>
      <c r="J21" s="30"/>
      <c r="K21" s="58"/>
      <c r="L21" s="104" t="str">
        <f>IF(ISERROR(#REF!),"",#REF!)</f>
        <v/>
      </c>
      <c r="M21" s="35" t="str">
        <f t="shared" si="3"/>
        <v/>
      </c>
      <c r="N21" s="368"/>
      <c r="O21" s="367"/>
    </row>
    <row r="22" spans="3:15" ht="30" customHeight="1" thickTop="1" thickBot="1" x14ac:dyDescent="0.4">
      <c r="C22" s="34" t="s">
        <v>1317</v>
      </c>
      <c r="D22" s="357" t="s">
        <v>300</v>
      </c>
      <c r="E22" s="358">
        <f>-Balancete!F239</f>
        <v>0</v>
      </c>
      <c r="F22" s="355" t="str">
        <f>IF(ISERROR(E22/$E$21),"",E22/$E$21)</f>
        <v/>
      </c>
      <c r="G22" s="335"/>
      <c r="H22" s="35"/>
      <c r="J22" s="30"/>
      <c r="K22" s="58"/>
      <c r="L22" s="104" t="str">
        <f>IF(ISERROR(#REF!),"",#REF!)</f>
        <v/>
      </c>
      <c r="M22" s="35" t="str">
        <f t="shared" si="3"/>
        <v/>
      </c>
      <c r="N22" s="368"/>
      <c r="O22" s="367"/>
    </row>
    <row r="23" spans="3:15" ht="30" customHeight="1" thickTop="1" thickBot="1" x14ac:dyDescent="0.4">
      <c r="C23" s="34" t="s">
        <v>1318</v>
      </c>
      <c r="D23" s="363"/>
      <c r="E23" s="324"/>
      <c r="F23" s="35" t="str">
        <f t="shared" ref="F23:F30" si="4">IF(ISERROR(E23/$E$21),"",E23/$E$21)</f>
        <v/>
      </c>
      <c r="G23" s="335"/>
      <c r="H23" s="35"/>
      <c r="J23" s="688" t="s">
        <v>1253</v>
      </c>
      <c r="K23" s="688"/>
      <c r="L23" s="703">
        <f>IF(ISERROR(SUM($L$14:$L$22)),"",SUM($L$14:$L$22))</f>
        <v>0</v>
      </c>
      <c r="M23" s="703"/>
      <c r="N23" s="703">
        <f>IF(ISERROR(SUM($N$14:$N$22)),"",SUM($N$14:$N$22))</f>
        <v>0</v>
      </c>
      <c r="O23" s="703"/>
    </row>
    <row r="24" spans="3:15" ht="30" customHeight="1" thickTop="1" thickBot="1" x14ac:dyDescent="0.4">
      <c r="C24" s="34" t="s">
        <v>1319</v>
      </c>
      <c r="D24" s="326"/>
      <c r="E24" s="324"/>
      <c r="F24" s="35" t="str">
        <f t="shared" si="4"/>
        <v/>
      </c>
      <c r="G24" s="335"/>
      <c r="H24" s="35"/>
    </row>
    <row r="25" spans="3:15" ht="30" customHeight="1" thickTop="1" thickBot="1" x14ac:dyDescent="0.4">
      <c r="C25" s="34" t="s">
        <v>1320</v>
      </c>
      <c r="D25" s="326"/>
      <c r="E25" s="324"/>
      <c r="F25" s="35" t="str">
        <f t="shared" si="4"/>
        <v/>
      </c>
      <c r="G25" s="335"/>
      <c r="H25" s="35"/>
      <c r="J25" s="683" t="s">
        <v>1321</v>
      </c>
      <c r="K25" s="684"/>
      <c r="L25" s="684"/>
      <c r="M25" s="685"/>
      <c r="N25" s="683"/>
      <c r="O25" s="684"/>
    </row>
    <row r="26" spans="3:15" ht="30" customHeight="1" thickTop="1" thickBot="1" x14ac:dyDescent="0.4">
      <c r="C26" s="34" t="s">
        <v>1322</v>
      </c>
      <c r="D26" s="326"/>
      <c r="E26" s="324"/>
      <c r="F26" s="35" t="str">
        <f t="shared" si="4"/>
        <v/>
      </c>
      <c r="G26" s="335"/>
      <c r="H26" s="35"/>
      <c r="J26" s="106"/>
      <c r="K26" s="107"/>
      <c r="L26" s="99" t="str">
        <f>IF(ISERROR(#REF!),"",#REF!)</f>
        <v/>
      </c>
      <c r="M26" s="35" t="str">
        <f>IF(ISERROR(L26/$L$28),"",L26/$L$28)</f>
        <v/>
      </c>
      <c r="N26" s="368"/>
      <c r="O26" s="367"/>
    </row>
    <row r="27" spans="3:15" ht="30" customHeight="1" thickTop="1" thickBot="1" x14ac:dyDescent="0.4">
      <c r="C27" s="34" t="s">
        <v>1323</v>
      </c>
      <c r="D27" s="326"/>
      <c r="E27" s="324"/>
      <c r="F27" s="35" t="str">
        <f t="shared" si="4"/>
        <v/>
      </c>
      <c r="G27" s="335"/>
      <c r="H27" s="35"/>
      <c r="J27" s="106"/>
      <c r="K27" s="107"/>
      <c r="L27" s="99" t="str">
        <f>IF(ISERROR(#REF!),"",#REF!)</f>
        <v/>
      </c>
      <c r="M27" s="35" t="str">
        <f>IF(ISERROR(L27/$L$28),"",L27/$L$28)</f>
        <v/>
      </c>
      <c r="N27" s="368"/>
      <c r="O27" s="367"/>
    </row>
    <row r="28" spans="3:15" ht="30" customHeight="1" thickTop="1" thickBot="1" x14ac:dyDescent="0.4">
      <c r="C28" s="34" t="s">
        <v>1324</v>
      </c>
      <c r="D28" s="326"/>
      <c r="E28" s="324"/>
      <c r="F28" s="35" t="str">
        <f t="shared" si="4"/>
        <v/>
      </c>
      <c r="G28" s="335"/>
      <c r="H28" s="35"/>
      <c r="J28" s="651" t="s">
        <v>1253</v>
      </c>
      <c r="K28" s="651"/>
      <c r="L28" s="703">
        <f>IF(ISERROR(SUM($L$26:$L$27)),"",SUM($L$26:$L$27))</f>
        <v>0</v>
      </c>
      <c r="M28" s="703"/>
      <c r="N28" s="368"/>
      <c r="O28" s="367"/>
    </row>
    <row r="29" spans="3:15" ht="30" customHeight="1" thickTop="1" thickBot="1" x14ac:dyDescent="0.4">
      <c r="C29" s="34" t="s">
        <v>1325</v>
      </c>
      <c r="D29" s="326"/>
      <c r="E29" s="324"/>
      <c r="F29" s="35" t="str">
        <f t="shared" si="4"/>
        <v/>
      </c>
      <c r="G29" s="335"/>
      <c r="H29" s="35"/>
      <c r="N29" s="51"/>
      <c r="O29" s="51"/>
    </row>
    <row r="30" spans="3:15" ht="30" customHeight="1" thickTop="1" thickBot="1" x14ac:dyDescent="0.4">
      <c r="C30" s="34" t="s">
        <v>1326</v>
      </c>
      <c r="D30" s="326"/>
      <c r="E30" s="324"/>
      <c r="F30" s="35" t="str">
        <f t="shared" si="4"/>
        <v/>
      </c>
      <c r="G30" s="335"/>
      <c r="H30" s="35"/>
      <c r="J30" s="671" t="s">
        <v>1327</v>
      </c>
      <c r="K30" s="672"/>
      <c r="L30" s="672"/>
      <c r="M30" s="672"/>
      <c r="N30" s="671"/>
      <c r="O30" s="672"/>
    </row>
    <row r="31" spans="3:15" ht="30" customHeight="1" thickTop="1" thickBot="1" x14ac:dyDescent="0.4">
      <c r="C31" s="30" t="s">
        <v>302</v>
      </c>
      <c r="D31" s="37" t="s">
        <v>1328</v>
      </c>
      <c r="E31" s="702">
        <f>IF(ISERROR(SUM(E32:E36)),"",SUM(E32:E36))</f>
        <v>0</v>
      </c>
      <c r="F31" s="702"/>
      <c r="G31" s="702">
        <f>IF(ISERROR(SUM(G32:G36)),"",SUM(G32:G36))</f>
        <v>0</v>
      </c>
      <c r="H31" s="702"/>
      <c r="J31" s="651" t="s">
        <v>1253</v>
      </c>
      <c r="K31" s="651"/>
      <c r="L31" s="703">
        <f>IF(ISERROR(SUM($L$5:$L$11)),"",SUM($L$5:$L$11))</f>
        <v>0</v>
      </c>
      <c r="M31" s="703"/>
      <c r="N31" s="703">
        <f>IF(ISERROR(SUM($N$5:$N$11)),"",SUM($N$5:$N$11))</f>
        <v>0</v>
      </c>
      <c r="O31" s="703"/>
    </row>
    <row r="32" spans="3:15" ht="30" customHeight="1" thickTop="1" thickBot="1" x14ac:dyDescent="0.4">
      <c r="C32" s="34" t="s">
        <v>304</v>
      </c>
      <c r="D32" s="309" t="s">
        <v>305</v>
      </c>
      <c r="E32" s="324">
        <f>-Balancete!F240</f>
        <v>0</v>
      </c>
      <c r="F32" s="35" t="str">
        <f>IF(ISERROR(E32/$E$31),"",E32/$E$31)</f>
        <v/>
      </c>
      <c r="G32" s="324">
        <f>-Balancete!H240</f>
        <v>0</v>
      </c>
      <c r="H32" s="35"/>
    </row>
    <row r="33" spans="1:21" ht="30" customHeight="1" thickTop="1" thickBot="1" x14ac:dyDescent="0.4">
      <c r="C33" s="34" t="s">
        <v>307</v>
      </c>
      <c r="D33" s="309" t="s">
        <v>308</v>
      </c>
      <c r="E33" s="324"/>
      <c r="F33" s="35" t="str">
        <f t="shared" ref="F33:F36" si="5">IF(ISERROR(E33/$E$31),"",E33/$E$31)</f>
        <v/>
      </c>
      <c r="G33" s="324"/>
      <c r="H33" s="35"/>
      <c r="L33" s="65"/>
    </row>
    <row r="34" spans="1:21" ht="30" customHeight="1" thickTop="1" thickBot="1" x14ac:dyDescent="0.4">
      <c r="C34" s="34" t="s">
        <v>310</v>
      </c>
      <c r="D34" s="309" t="s">
        <v>311</v>
      </c>
      <c r="E34" s="324"/>
      <c r="F34" s="35" t="str">
        <f t="shared" si="5"/>
        <v/>
      </c>
      <c r="G34" s="324"/>
      <c r="H34" s="35"/>
    </row>
    <row r="35" spans="1:21" ht="30" customHeight="1" thickTop="1" thickBot="1" x14ac:dyDescent="0.4">
      <c r="C35" s="34" t="s">
        <v>313</v>
      </c>
      <c r="D35" s="309" t="s">
        <v>314</v>
      </c>
      <c r="E35" s="324">
        <f>-Balancete!F243</f>
        <v>0</v>
      </c>
      <c r="F35" s="35" t="str">
        <f t="shared" si="5"/>
        <v/>
      </c>
      <c r="G35" s="324">
        <f>-Balancete!G243</f>
        <v>0</v>
      </c>
      <c r="H35" s="35"/>
    </row>
    <row r="36" spans="1:21" ht="30" customHeight="1" thickTop="1" thickBot="1" x14ac:dyDescent="0.4">
      <c r="C36" s="34" t="s">
        <v>1329</v>
      </c>
      <c r="D36" s="326"/>
      <c r="E36" s="324"/>
      <c r="F36" s="35" t="str">
        <f t="shared" si="5"/>
        <v/>
      </c>
      <c r="G36" s="335"/>
      <c r="H36" s="35"/>
    </row>
    <row r="37" spans="1:21" ht="30" customHeight="1" thickTop="1" thickBot="1" x14ac:dyDescent="0.4">
      <c r="C37" s="30" t="s">
        <v>316</v>
      </c>
      <c r="D37" s="37" t="s">
        <v>317</v>
      </c>
      <c r="E37" s="702">
        <f>IF(ISERROR(SUM(E38:E40)),"",SUM(E38:E40))</f>
        <v>0</v>
      </c>
      <c r="F37" s="702"/>
      <c r="G37" s="348"/>
      <c r="H37" s="348"/>
    </row>
    <row r="38" spans="1:21" ht="30" customHeight="1" thickTop="1" thickBot="1" x14ac:dyDescent="0.4">
      <c r="C38" s="34" t="s">
        <v>1330</v>
      </c>
      <c r="D38" s="363" t="s">
        <v>1331</v>
      </c>
      <c r="E38" s="322">
        <f>-Balancete!F217</f>
        <v>0</v>
      </c>
      <c r="F38" s="35" t="str">
        <f>IF(ISERROR(E38/$E$37),"",E38/$E$37)</f>
        <v/>
      </c>
      <c r="G38" s="335"/>
      <c r="H38" s="35"/>
    </row>
    <row r="39" spans="1:21" s="1" customFormat="1" ht="30" customHeight="1" thickTop="1" thickBot="1" x14ac:dyDescent="0.4">
      <c r="A39" s="10"/>
      <c r="B39"/>
      <c r="C39" s="34" t="s">
        <v>1332</v>
      </c>
      <c r="D39" s="326"/>
      <c r="E39" s="324"/>
      <c r="F39" s="35" t="str">
        <f t="shared" ref="F39:F40" si="6">IF(ISERROR(E39/$E$37),"",E39/$E$37)</f>
        <v/>
      </c>
      <c r="G39" s="335"/>
      <c r="H39" s="35"/>
      <c r="I39"/>
      <c r="J39"/>
      <c r="K39"/>
      <c r="L39"/>
      <c r="M39"/>
      <c r="N39" s="27"/>
      <c r="O39" s="27"/>
      <c r="P39" s="27"/>
      <c r="Q39" s="27"/>
      <c r="R39" s="27"/>
      <c r="S39" s="27"/>
      <c r="T39" s="27"/>
      <c r="U39" s="27"/>
    </row>
    <row r="40" spans="1:21" s="1" customFormat="1" ht="30" customHeight="1" thickTop="1" thickBot="1" x14ac:dyDescent="0.4">
      <c r="A40" s="10"/>
      <c r="B40"/>
      <c r="C40" s="34" t="s">
        <v>1333</v>
      </c>
      <c r="D40" s="326"/>
      <c r="E40" s="324"/>
      <c r="F40" s="35" t="str">
        <f t="shared" si="6"/>
        <v/>
      </c>
      <c r="G40" s="335"/>
      <c r="H40" s="35"/>
      <c r="I40"/>
      <c r="J40"/>
      <c r="K40"/>
      <c r="L40"/>
      <c r="M40"/>
      <c r="N40" s="27"/>
      <c r="O40" s="27"/>
      <c r="P40" s="27"/>
      <c r="Q40" s="27"/>
      <c r="R40" s="27"/>
      <c r="S40" s="27"/>
      <c r="T40" s="27"/>
      <c r="U40" s="27"/>
    </row>
    <row r="41" spans="1:21" s="1" customFormat="1" ht="30" customHeight="1" thickTop="1" thickBot="1" x14ac:dyDescent="0.4">
      <c r="A41" s="10"/>
      <c r="B41"/>
      <c r="C41" s="30"/>
      <c r="D41" s="37"/>
      <c r="E41" s="679"/>
      <c r="F41" s="708"/>
      <c r="G41" s="362"/>
      <c r="H41" s="362"/>
      <c r="I41"/>
      <c r="J41"/>
      <c r="K41"/>
      <c r="L41"/>
      <c r="M41"/>
      <c r="N41" s="27"/>
      <c r="O41" s="27"/>
      <c r="P41" s="27"/>
      <c r="Q41" s="27"/>
      <c r="R41" s="27"/>
      <c r="S41" s="27"/>
      <c r="T41" s="27"/>
      <c r="U41" s="27"/>
    </row>
    <row r="42" spans="1:21" s="1" customFormat="1" ht="30" customHeight="1" thickTop="1" thickBot="1" x14ac:dyDescent="0.4">
      <c r="A42" s="10"/>
      <c r="B42"/>
      <c r="C42" s="34"/>
      <c r="D42" s="5"/>
      <c r="E42" s="4"/>
      <c r="F42" s="35"/>
      <c r="G42" s="282"/>
      <c r="H42" s="282"/>
      <c r="I42"/>
      <c r="J42"/>
      <c r="K42"/>
      <c r="L42"/>
      <c r="M42"/>
      <c r="N42" s="27"/>
      <c r="O42" s="27"/>
      <c r="P42" s="27"/>
      <c r="Q42" s="27"/>
      <c r="R42" s="27"/>
      <c r="S42" s="27"/>
      <c r="T42" s="27"/>
      <c r="U42" s="27"/>
    </row>
    <row r="43" spans="1:21" s="1" customFormat="1" ht="30" customHeight="1" thickTop="1" thickBot="1" x14ac:dyDescent="0.4">
      <c r="A43" s="10"/>
      <c r="B43"/>
      <c r="C43" s="34"/>
      <c r="D43" s="5"/>
      <c r="E43" s="4"/>
      <c r="F43" s="35"/>
      <c r="G43" s="282"/>
      <c r="H43" s="282"/>
      <c r="I43"/>
      <c r="J43"/>
      <c r="K43"/>
      <c r="L43"/>
      <c r="M43"/>
      <c r="N43" s="27"/>
      <c r="O43" s="27"/>
      <c r="P43" s="27"/>
      <c r="Q43" s="27"/>
      <c r="R43" s="27"/>
      <c r="S43" s="27"/>
      <c r="T43" s="27"/>
      <c r="U43" s="27"/>
    </row>
    <row r="44" spans="1:21" s="1" customFormat="1" ht="30" customHeight="1" thickTop="1" thickBot="1" x14ac:dyDescent="0.4">
      <c r="A44" s="10"/>
      <c r="B44"/>
      <c r="C44" s="34"/>
      <c r="D44" s="5"/>
      <c r="E44" s="4"/>
      <c r="F44" s="35"/>
      <c r="G44" s="282"/>
      <c r="H44" s="282"/>
      <c r="I44"/>
      <c r="J44"/>
      <c r="K44"/>
      <c r="L44"/>
      <c r="M44"/>
      <c r="N44" s="27"/>
      <c r="O44" s="27"/>
      <c r="P44" s="27"/>
      <c r="Q44" s="27"/>
      <c r="R44" s="27"/>
      <c r="S44" s="27"/>
      <c r="T44" s="27"/>
      <c r="U44" s="27"/>
    </row>
    <row r="45" spans="1:21" s="1" customFormat="1" ht="30" customHeight="1" thickTop="1" thickBot="1" x14ac:dyDescent="0.4">
      <c r="A45" s="10"/>
      <c r="B45"/>
      <c r="C45" s="34"/>
      <c r="D45" s="5"/>
      <c r="E45" s="4"/>
      <c r="F45" s="35"/>
      <c r="G45" s="282"/>
      <c r="H45" s="282"/>
      <c r="I45"/>
      <c r="J45"/>
      <c r="K45"/>
      <c r="L45"/>
      <c r="M45"/>
      <c r="N45" s="27"/>
      <c r="O45" s="27"/>
      <c r="P45" s="27"/>
      <c r="Q45" s="27"/>
      <c r="R45" s="27"/>
      <c r="S45" s="27"/>
      <c r="T45" s="27"/>
      <c r="U45" s="27"/>
    </row>
    <row r="46" spans="1:21" s="1" customFormat="1" ht="30" customHeight="1" thickTop="1" thickBot="1" x14ac:dyDescent="0.4">
      <c r="A46" s="10"/>
      <c r="B46"/>
      <c r="C46" s="34"/>
      <c r="D46" s="5"/>
      <c r="E46" s="4"/>
      <c r="F46" s="35"/>
      <c r="G46" s="282"/>
      <c r="H46" s="282"/>
      <c r="I46"/>
      <c r="J46"/>
      <c r="K46"/>
      <c r="L46"/>
      <c r="M46"/>
      <c r="N46" s="27"/>
      <c r="O46" s="27"/>
      <c r="P46" s="27"/>
      <c r="Q46" s="27"/>
      <c r="R46" s="27"/>
      <c r="S46" s="27"/>
      <c r="T46" s="27"/>
      <c r="U46" s="27"/>
    </row>
    <row r="47" spans="1:21" s="1" customFormat="1" ht="30" customHeight="1" thickTop="1" thickBot="1" x14ac:dyDescent="0.4">
      <c r="A47" s="10"/>
      <c r="B47"/>
      <c r="C47" s="34"/>
      <c r="D47" s="5"/>
      <c r="E47" s="4"/>
      <c r="F47" s="35"/>
      <c r="G47" s="282"/>
      <c r="H47" s="282"/>
      <c r="I47"/>
      <c r="J47"/>
      <c r="K47"/>
      <c r="L47"/>
      <c r="M47"/>
      <c r="N47" s="27"/>
      <c r="O47" s="27"/>
      <c r="P47" s="27"/>
      <c r="Q47" s="27"/>
      <c r="R47" s="27"/>
      <c r="S47" s="27"/>
      <c r="T47" s="27"/>
      <c r="U47" s="27"/>
    </row>
    <row r="48" spans="1:21" s="1" customFormat="1" ht="30" customHeight="1" thickTop="1" thickBot="1" x14ac:dyDescent="0.4">
      <c r="A48" s="10"/>
      <c r="B48"/>
      <c r="C48" s="34"/>
      <c r="D48" s="5"/>
      <c r="E48" s="4"/>
      <c r="F48" s="35"/>
      <c r="G48" s="282"/>
      <c r="H48" s="282"/>
      <c r="I48"/>
      <c r="J48"/>
      <c r="K48"/>
      <c r="L48"/>
      <c r="M48"/>
      <c r="N48" s="27"/>
      <c r="O48" s="27"/>
      <c r="P48" s="27"/>
      <c r="Q48" s="27"/>
      <c r="R48" s="27"/>
      <c r="S48" s="27"/>
      <c r="T48" s="27"/>
      <c r="U48" s="27"/>
    </row>
    <row r="49" spans="1:21" s="1" customFormat="1" ht="30" customHeight="1" thickTop="1" thickBot="1" x14ac:dyDescent="0.4">
      <c r="A49" s="10"/>
      <c r="B49"/>
      <c r="C49" s="34"/>
      <c r="D49" s="5"/>
      <c r="E49" s="4"/>
      <c r="F49" s="35"/>
      <c r="G49" s="282"/>
      <c r="H49" s="282"/>
      <c r="I49"/>
      <c r="J49"/>
      <c r="K49"/>
      <c r="L49"/>
      <c r="M49"/>
      <c r="N49" s="27"/>
      <c r="O49" s="27"/>
      <c r="P49" s="27"/>
      <c r="Q49" s="27"/>
      <c r="R49" s="27"/>
      <c r="S49" s="27"/>
      <c r="T49" s="27"/>
      <c r="U49" s="27"/>
    </row>
    <row r="50" spans="1:21" s="1" customFormat="1" ht="30" customHeight="1" thickTop="1" thickBot="1" x14ac:dyDescent="0.4">
      <c r="A50" s="10"/>
      <c r="B50"/>
      <c r="C50" s="34"/>
      <c r="D50" s="5"/>
      <c r="E50" s="4"/>
      <c r="F50" s="35"/>
      <c r="G50" s="282"/>
      <c r="H50" s="282"/>
      <c r="I50"/>
      <c r="J50"/>
      <c r="K50"/>
      <c r="L50"/>
      <c r="M50"/>
      <c r="N50" s="27"/>
      <c r="O50" s="27"/>
      <c r="P50" s="27"/>
      <c r="Q50" s="27"/>
      <c r="R50" s="27"/>
      <c r="S50" s="27"/>
      <c r="T50" s="27"/>
      <c r="U50" s="27"/>
    </row>
    <row r="51" spans="1:21" s="1" customFormat="1" ht="30" customHeight="1" thickTop="1" thickBot="1" x14ac:dyDescent="0.4">
      <c r="A51" s="10"/>
      <c r="B51"/>
      <c r="C51" s="30"/>
      <c r="D51" s="37"/>
      <c r="E51" s="679"/>
      <c r="F51" s="708"/>
      <c r="G51" s="362"/>
      <c r="H51" s="362"/>
      <c r="I51"/>
      <c r="J51"/>
      <c r="K51"/>
      <c r="L51"/>
      <c r="M51"/>
      <c r="N51" s="27"/>
      <c r="O51" s="27"/>
      <c r="P51" s="27"/>
      <c r="Q51" s="27"/>
      <c r="R51" s="27"/>
      <c r="S51" s="27"/>
      <c r="T51" s="27"/>
      <c r="U51" s="27"/>
    </row>
    <row r="52" spans="1:21" s="1" customFormat="1" ht="34" customHeight="1" thickTop="1" x14ac:dyDescent="0.35">
      <c r="A52" s="10"/>
      <c r="B52"/>
      <c r="C52"/>
      <c r="D52"/>
      <c r="E52"/>
      <c r="F52"/>
      <c r="G52"/>
      <c r="H52"/>
      <c r="I52"/>
      <c r="J52"/>
      <c r="K52"/>
      <c r="L52"/>
      <c r="M52"/>
      <c r="N52" s="27"/>
      <c r="O52" s="27"/>
      <c r="P52" s="27"/>
      <c r="Q52" s="27"/>
      <c r="R52" s="27"/>
      <c r="S52" s="27"/>
      <c r="T52" s="27"/>
      <c r="U52" s="27"/>
    </row>
    <row r="53" spans="1:21" s="1" customFormat="1" ht="34" customHeight="1" x14ac:dyDescent="0.35">
      <c r="A53" s="10"/>
      <c r="B53"/>
      <c r="C53"/>
      <c r="D53"/>
      <c r="E53"/>
      <c r="F53"/>
      <c r="G53"/>
      <c r="H53"/>
      <c r="I53"/>
      <c r="J53"/>
      <c r="K53"/>
      <c r="L53"/>
      <c r="M53"/>
      <c r="N53" s="27"/>
      <c r="O53" s="27"/>
      <c r="P53" s="27"/>
      <c r="Q53" s="27"/>
      <c r="R53" s="27"/>
      <c r="S53" s="27"/>
      <c r="T53" s="27"/>
      <c r="U53" s="27"/>
    </row>
    <row r="54" spans="1:21" s="1" customFormat="1" ht="34" customHeight="1" x14ac:dyDescent="0.35">
      <c r="A54" s="10"/>
      <c r="B54"/>
      <c r="C54"/>
      <c r="D54"/>
      <c r="E54"/>
      <c r="F54"/>
      <c r="G54"/>
      <c r="H54"/>
      <c r="I54"/>
      <c r="J54"/>
      <c r="K54"/>
      <c r="L54"/>
      <c r="M54"/>
      <c r="N54" s="27"/>
      <c r="O54" s="27"/>
      <c r="P54" s="27"/>
      <c r="Q54" s="27"/>
      <c r="R54" s="27"/>
      <c r="S54" s="27"/>
      <c r="T54" s="27"/>
      <c r="U54" s="27"/>
    </row>
    <row r="55" spans="1:21" s="1" customFormat="1" ht="34" customHeight="1" x14ac:dyDescent="0.35">
      <c r="A55" s="10"/>
      <c r="B55"/>
      <c r="C55"/>
      <c r="D55"/>
      <c r="E55"/>
      <c r="F55"/>
      <c r="G55"/>
      <c r="H55"/>
      <c r="I55"/>
      <c r="J55"/>
      <c r="K55"/>
      <c r="L55"/>
      <c r="M55"/>
      <c r="N55" s="27"/>
      <c r="O55" s="27"/>
      <c r="P55" s="27"/>
      <c r="Q55" s="27"/>
      <c r="R55" s="27"/>
      <c r="S55" s="27"/>
      <c r="T55" s="27"/>
      <c r="U55" s="27"/>
    </row>
    <row r="56" spans="1:21" s="1" customFormat="1" ht="34" customHeight="1" x14ac:dyDescent="0.35">
      <c r="A56" s="10"/>
      <c r="B56"/>
      <c r="C56"/>
      <c r="D56"/>
      <c r="E56"/>
      <c r="F56"/>
      <c r="G56"/>
      <c r="H56"/>
      <c r="I56"/>
      <c r="J56"/>
      <c r="K56"/>
      <c r="L56"/>
      <c r="M56"/>
      <c r="N56" s="27"/>
      <c r="O56" s="27"/>
      <c r="P56" s="27"/>
      <c r="Q56" s="27"/>
      <c r="R56" s="27"/>
      <c r="S56" s="27"/>
      <c r="T56" s="27"/>
      <c r="U56" s="27"/>
    </row>
    <row r="57" spans="1:21" s="1" customFormat="1" ht="34" customHeight="1" x14ac:dyDescent="0.35">
      <c r="A57" s="10"/>
      <c r="B57"/>
      <c r="C57"/>
      <c r="D57"/>
      <c r="E57"/>
      <c r="F57"/>
      <c r="G57"/>
      <c r="H57"/>
      <c r="I57"/>
      <c r="J57"/>
      <c r="K57"/>
      <c r="L57"/>
      <c r="M57"/>
      <c r="N57" s="27"/>
      <c r="O57" s="27"/>
      <c r="P57" s="27"/>
      <c r="Q57" s="27"/>
      <c r="R57" s="27"/>
      <c r="S57" s="27"/>
      <c r="T57" s="27"/>
      <c r="U57" s="27"/>
    </row>
    <row r="58" spans="1:21" s="1" customFormat="1" ht="34" customHeight="1" x14ac:dyDescent="0.35">
      <c r="A58" s="10"/>
      <c r="B58"/>
      <c r="C58"/>
      <c r="D58"/>
      <c r="E58"/>
      <c r="F58"/>
      <c r="G58"/>
      <c r="H58"/>
      <c r="I58"/>
      <c r="J58"/>
      <c r="K58"/>
      <c r="L58"/>
      <c r="M58"/>
      <c r="N58" s="27"/>
      <c r="O58" s="27"/>
      <c r="P58" s="27"/>
      <c r="Q58" s="27"/>
      <c r="R58" s="27"/>
      <c r="S58" s="27"/>
      <c r="T58" s="27"/>
      <c r="U58" s="27"/>
    </row>
    <row r="59" spans="1:21" s="1" customFormat="1" ht="34" customHeight="1" x14ac:dyDescent="0.35">
      <c r="A59" s="10"/>
      <c r="B59"/>
      <c r="C59"/>
      <c r="D59"/>
      <c r="E59"/>
      <c r="F59"/>
      <c r="G59"/>
      <c r="H59"/>
      <c r="I59"/>
      <c r="J59"/>
      <c r="K59"/>
      <c r="L59"/>
      <c r="M59"/>
      <c r="N59" s="27"/>
      <c r="O59" s="27"/>
      <c r="P59" s="27"/>
      <c r="Q59" s="27"/>
      <c r="R59" s="27"/>
      <c r="S59" s="27"/>
      <c r="T59" s="27"/>
      <c r="U59" s="27"/>
    </row>
    <row r="60" spans="1:21" s="1" customFormat="1" ht="34" customHeight="1" x14ac:dyDescent="0.35">
      <c r="A60" s="10"/>
      <c r="B60"/>
      <c r="C60"/>
      <c r="D60"/>
      <c r="E60"/>
      <c r="F60"/>
      <c r="G60"/>
      <c r="H60"/>
      <c r="I60"/>
      <c r="J60"/>
      <c r="K60"/>
      <c r="L60"/>
      <c r="M60"/>
      <c r="N60" s="27"/>
      <c r="O60" s="27"/>
      <c r="P60" s="27"/>
      <c r="Q60" s="27"/>
      <c r="R60" s="27"/>
      <c r="S60" s="27"/>
      <c r="T60" s="27"/>
      <c r="U60" s="27"/>
    </row>
    <row r="61" spans="1:21" s="1" customFormat="1" ht="34" customHeight="1" x14ac:dyDescent="0.35">
      <c r="A61" s="10"/>
      <c r="B61"/>
      <c r="C61"/>
      <c r="D61"/>
      <c r="E61"/>
      <c r="F61"/>
      <c r="G61"/>
      <c r="H61"/>
      <c r="I61"/>
      <c r="J61"/>
      <c r="K61"/>
      <c r="L61"/>
      <c r="M61"/>
      <c r="N61" s="27"/>
      <c r="O61" s="27"/>
      <c r="P61" s="27"/>
      <c r="Q61" s="27"/>
      <c r="R61" s="27"/>
      <c r="S61" s="27"/>
      <c r="T61" s="27"/>
      <c r="U61" s="27"/>
    </row>
    <row r="62" spans="1:21" s="1" customFormat="1" ht="34" customHeight="1" x14ac:dyDescent="0.35">
      <c r="A62" s="10"/>
      <c r="B62"/>
      <c r="C62"/>
      <c r="D62"/>
      <c r="E62"/>
      <c r="F62"/>
      <c r="G62"/>
      <c r="H62"/>
      <c r="I62"/>
      <c r="J62"/>
      <c r="K62"/>
      <c r="L62"/>
      <c r="M62"/>
      <c r="N62" s="27"/>
      <c r="O62" s="27"/>
      <c r="P62" s="27"/>
      <c r="Q62" s="27"/>
      <c r="R62" s="27"/>
      <c r="S62" s="27"/>
      <c r="T62" s="27"/>
      <c r="U62" s="27"/>
    </row>
    <row r="63" spans="1:21" s="1" customFormat="1" ht="34" customHeight="1" x14ac:dyDescent="0.35">
      <c r="A63" s="10"/>
      <c r="B63"/>
      <c r="C63"/>
      <c r="D63"/>
      <c r="E63"/>
      <c r="F63"/>
      <c r="G63"/>
      <c r="H63"/>
      <c r="I63"/>
      <c r="J63"/>
      <c r="K63"/>
      <c r="L63"/>
      <c r="M63"/>
      <c r="N63" s="27"/>
      <c r="O63" s="27"/>
      <c r="P63" s="27"/>
      <c r="Q63" s="27"/>
      <c r="R63" s="27"/>
      <c r="S63" s="27"/>
      <c r="T63" s="27"/>
      <c r="U63" s="27"/>
    </row>
    <row r="64" spans="1:21" s="1" customFormat="1" ht="34" customHeight="1" x14ac:dyDescent="0.35">
      <c r="A64" s="10"/>
      <c r="B64"/>
      <c r="C64"/>
      <c r="D64"/>
      <c r="E64"/>
      <c r="F64"/>
      <c r="G64"/>
      <c r="H64"/>
      <c r="I64"/>
      <c r="J64"/>
      <c r="K64"/>
      <c r="L64"/>
      <c r="M64"/>
      <c r="N64" s="27"/>
      <c r="O64" s="27"/>
      <c r="P64" s="27"/>
      <c r="Q64" s="27"/>
      <c r="R64" s="27"/>
      <c r="S64" s="27"/>
      <c r="T64" s="27"/>
      <c r="U64" s="27"/>
    </row>
    <row r="65" spans="1:21" s="1" customFormat="1" ht="34" customHeight="1" x14ac:dyDescent="0.35">
      <c r="A65" s="10"/>
      <c r="B65"/>
      <c r="C65"/>
      <c r="D65"/>
      <c r="E65"/>
      <c r="F65"/>
      <c r="G65"/>
      <c r="H65"/>
      <c r="I65"/>
      <c r="J65"/>
      <c r="K65"/>
      <c r="L65"/>
      <c r="M65"/>
      <c r="N65" s="27"/>
      <c r="O65" s="27"/>
      <c r="P65" s="27"/>
      <c r="Q65" s="27"/>
      <c r="R65" s="27"/>
      <c r="S65" s="27"/>
      <c r="T65" s="27"/>
      <c r="U65" s="27"/>
    </row>
    <row r="66" spans="1:21" s="1" customFormat="1" ht="34" customHeight="1" x14ac:dyDescent="0.35">
      <c r="A66" s="10"/>
      <c r="B66"/>
      <c r="C66"/>
      <c r="D66"/>
      <c r="E66"/>
      <c r="F66"/>
      <c r="G66"/>
      <c r="H66"/>
      <c r="I66"/>
      <c r="J66"/>
      <c r="K66"/>
      <c r="L66"/>
      <c r="M66"/>
      <c r="N66" s="27"/>
      <c r="O66" s="27"/>
      <c r="P66" s="27"/>
      <c r="Q66" s="27"/>
      <c r="R66" s="27"/>
      <c r="S66" s="27"/>
      <c r="T66" s="27"/>
      <c r="U66" s="27"/>
    </row>
    <row r="67" spans="1:21" s="1" customFormat="1" ht="34" customHeight="1" x14ac:dyDescent="0.35">
      <c r="A67" s="10"/>
      <c r="B67"/>
      <c r="C67"/>
      <c r="D67"/>
      <c r="E67"/>
      <c r="F67"/>
      <c r="G67"/>
      <c r="H67"/>
      <c r="I67"/>
      <c r="J67"/>
      <c r="K67"/>
      <c r="L67"/>
      <c r="M67"/>
      <c r="N67" s="27"/>
      <c r="O67" s="27"/>
      <c r="P67" s="27"/>
      <c r="Q67" s="27"/>
      <c r="R67" s="27"/>
      <c r="S67" s="27"/>
      <c r="T67" s="27"/>
      <c r="U67" s="27"/>
    </row>
    <row r="68" spans="1:21" s="1" customFormat="1" ht="34" customHeight="1" x14ac:dyDescent="0.35">
      <c r="A68" s="10"/>
      <c r="B68"/>
      <c r="C68"/>
      <c r="D68"/>
      <c r="E68"/>
      <c r="F68"/>
      <c r="G68"/>
      <c r="H68"/>
      <c r="I68"/>
      <c r="J68"/>
      <c r="K68"/>
      <c r="L68"/>
      <c r="M68"/>
      <c r="N68" s="27"/>
      <c r="O68" s="27"/>
      <c r="P68" s="27"/>
      <c r="Q68" s="27"/>
      <c r="R68" s="27"/>
      <c r="S68" s="27"/>
      <c r="T68" s="27"/>
      <c r="U68" s="27"/>
    </row>
    <row r="69" spans="1:21" s="1" customFormat="1" ht="34" customHeight="1" x14ac:dyDescent="0.35">
      <c r="A69" s="10"/>
      <c r="B69"/>
      <c r="C69"/>
      <c r="D69"/>
      <c r="E69"/>
      <c r="F69"/>
      <c r="G69"/>
      <c r="H69"/>
      <c r="I69"/>
      <c r="J69"/>
      <c r="K69"/>
      <c r="L69"/>
      <c r="M69"/>
      <c r="N69" s="27"/>
      <c r="O69" s="27"/>
      <c r="P69" s="27"/>
      <c r="Q69" s="27"/>
      <c r="R69" s="27"/>
      <c r="S69" s="27"/>
      <c r="T69" s="27"/>
      <c r="U69" s="27"/>
    </row>
    <row r="70" spans="1:21" s="1" customFormat="1" ht="34" customHeight="1" x14ac:dyDescent="0.35">
      <c r="A70" s="10"/>
      <c r="B70"/>
      <c r="C70"/>
      <c r="D70"/>
      <c r="E70"/>
      <c r="F70"/>
      <c r="G70"/>
      <c r="H70"/>
      <c r="I70"/>
      <c r="J70"/>
      <c r="K70"/>
      <c r="L70"/>
      <c r="M70"/>
      <c r="N70" s="27"/>
      <c r="O70" s="27"/>
      <c r="P70" s="27"/>
      <c r="Q70" s="27"/>
      <c r="R70" s="27"/>
      <c r="S70" s="27"/>
      <c r="T70" s="27"/>
      <c r="U70" s="27"/>
    </row>
    <row r="71" spans="1:21" s="1" customFormat="1" ht="34" customHeight="1" x14ac:dyDescent="0.35">
      <c r="A71" s="10"/>
      <c r="B71"/>
      <c r="C71"/>
      <c r="D71"/>
      <c r="E71"/>
      <c r="F71"/>
      <c r="G71"/>
      <c r="H71"/>
      <c r="I71"/>
      <c r="J71"/>
      <c r="K71"/>
      <c r="L71"/>
      <c r="M71"/>
      <c r="N71" s="27"/>
      <c r="O71" s="27"/>
      <c r="P71" s="27"/>
      <c r="Q71" s="27"/>
      <c r="R71" s="27"/>
      <c r="S71" s="27"/>
      <c r="T71" s="27"/>
      <c r="U71" s="27"/>
    </row>
    <row r="72" spans="1:21" s="1" customFormat="1" ht="34" customHeight="1" x14ac:dyDescent="0.35">
      <c r="A72" s="10"/>
      <c r="B72"/>
      <c r="C72"/>
      <c r="D72"/>
      <c r="E72"/>
      <c r="F72"/>
      <c r="G72"/>
      <c r="H72"/>
      <c r="I72"/>
      <c r="J72"/>
      <c r="K72"/>
      <c r="L72"/>
      <c r="M72"/>
      <c r="N72" s="27"/>
      <c r="O72" s="27"/>
      <c r="P72" s="27"/>
      <c r="Q72" s="27"/>
      <c r="R72" s="27"/>
      <c r="S72" s="27"/>
      <c r="T72" s="27"/>
      <c r="U72" s="27"/>
    </row>
    <row r="73" spans="1:21" ht="34" customHeight="1" x14ac:dyDescent="0.35"/>
    <row r="74" spans="1:21" ht="34" customHeight="1" x14ac:dyDescent="0.35"/>
    <row r="75" spans="1:21" ht="34" customHeight="1" x14ac:dyDescent="0.35"/>
    <row r="76" spans="1:21" ht="34" customHeight="1" x14ac:dyDescent="0.35"/>
    <row r="77" spans="1:21" ht="34" customHeight="1" x14ac:dyDescent="0.35"/>
    <row r="78" spans="1:21" ht="34" customHeight="1" x14ac:dyDescent="0.35"/>
    <row r="79" spans="1:21" ht="34" customHeight="1" x14ac:dyDescent="0.35"/>
    <row r="80" spans="1:21" ht="34" customHeight="1" x14ac:dyDescent="0.35"/>
    <row r="81" ht="34" customHeight="1" x14ac:dyDescent="0.35"/>
    <row r="82" ht="34" customHeight="1" x14ac:dyDescent="0.35"/>
    <row r="83" ht="34" customHeight="1" x14ac:dyDescent="0.35"/>
    <row r="84" ht="34" customHeight="1" x14ac:dyDescent="0.35"/>
    <row r="85" ht="34" customHeight="1" x14ac:dyDescent="0.35"/>
    <row r="86" ht="34" customHeight="1" x14ac:dyDescent="0.35"/>
    <row r="87" ht="34" customHeight="1" x14ac:dyDescent="0.35"/>
    <row r="88" ht="34" customHeight="1" x14ac:dyDescent="0.35"/>
    <row r="89" ht="34" customHeight="1" x14ac:dyDescent="0.35"/>
    <row r="90" ht="34" customHeight="1" x14ac:dyDescent="0.35"/>
    <row r="91" ht="34" customHeight="1" x14ac:dyDescent="0.35"/>
    <row r="92" ht="34" customHeight="1" x14ac:dyDescent="0.35"/>
    <row r="93" ht="34" customHeight="1" x14ac:dyDescent="0.35"/>
    <row r="94" ht="34" customHeight="1" x14ac:dyDescent="0.35"/>
    <row r="95" ht="34" customHeight="1" x14ac:dyDescent="0.35"/>
    <row r="96" ht="34" customHeight="1" x14ac:dyDescent="0.35"/>
    <row r="97" ht="34" customHeight="1" x14ac:dyDescent="0.35"/>
    <row r="98" ht="34" customHeight="1" x14ac:dyDescent="0.35"/>
    <row r="99" ht="34" customHeight="1" x14ac:dyDescent="0.35"/>
    <row r="100" ht="34" customHeight="1" x14ac:dyDescent="0.35"/>
    <row r="101" ht="34" customHeight="1" x14ac:dyDescent="0.35"/>
    <row r="102" ht="34" customHeight="1" x14ac:dyDescent="0.35"/>
    <row r="103" ht="34" customHeight="1" x14ac:dyDescent="0.35"/>
    <row r="104" ht="34" customHeight="1" x14ac:dyDescent="0.35"/>
    <row r="105" ht="34" customHeight="1" x14ac:dyDescent="0.35"/>
    <row r="106" ht="34" customHeight="1" x14ac:dyDescent="0.35"/>
    <row r="107" ht="34" customHeight="1" x14ac:dyDescent="0.35"/>
    <row r="108" ht="34" customHeight="1" x14ac:dyDescent="0.35"/>
    <row r="109" ht="34" customHeight="1" x14ac:dyDescent="0.35"/>
    <row r="110" ht="34" customHeight="1" x14ac:dyDescent="0.35"/>
    <row r="111" ht="34" customHeight="1" x14ac:dyDescent="0.35"/>
    <row r="112" ht="34" customHeight="1" x14ac:dyDescent="0.35"/>
    <row r="113" ht="34" customHeight="1" x14ac:dyDescent="0.35"/>
    <row r="114" ht="34" customHeight="1" x14ac:dyDescent="0.35"/>
    <row r="115" ht="34" customHeight="1" x14ac:dyDescent="0.35"/>
    <row r="116" ht="34" customHeight="1" x14ac:dyDescent="0.35"/>
    <row r="117" ht="34" customHeight="1" x14ac:dyDescent="0.35"/>
    <row r="118" ht="34" customHeight="1" x14ac:dyDescent="0.35"/>
    <row r="119" ht="34" customHeight="1" x14ac:dyDescent="0.35"/>
    <row r="120" ht="34" customHeight="1" x14ac:dyDescent="0.35"/>
    <row r="121" ht="34" customHeight="1" x14ac:dyDescent="0.35"/>
    <row r="122" ht="33.75" customHeight="1" x14ac:dyDescent="0.35"/>
    <row r="123" ht="33.75" customHeight="1" x14ac:dyDescent="0.35"/>
    <row r="124" ht="33.75" customHeight="1" x14ac:dyDescent="0.35"/>
    <row r="125" ht="33.75" customHeight="1" x14ac:dyDescent="0.35"/>
    <row r="126" ht="33.75" customHeight="1" x14ac:dyDescent="0.35"/>
    <row r="127" ht="33.75" customHeight="1" x14ac:dyDescent="0.35"/>
    <row r="128" ht="33.75" customHeight="1" x14ac:dyDescent="0.35"/>
    <row r="129" ht="33.75" customHeight="1" x14ac:dyDescent="0.35"/>
    <row r="130" ht="33.75" customHeight="1" x14ac:dyDescent="0.35"/>
    <row r="131" ht="33.75" customHeight="1" x14ac:dyDescent="0.35"/>
    <row r="132" ht="33.75" customHeight="1" x14ac:dyDescent="0.35"/>
    <row r="133" ht="33.75" customHeight="1" x14ac:dyDescent="0.35"/>
    <row r="134" ht="33.75" customHeight="1" x14ac:dyDescent="0.35"/>
    <row r="135" ht="33.75" customHeight="1" x14ac:dyDescent="0.35"/>
    <row r="136" ht="33.75" customHeight="1" x14ac:dyDescent="0.35"/>
    <row r="137" ht="33.75" customHeight="1" x14ac:dyDescent="0.35"/>
    <row r="138" ht="33.75" customHeight="1" x14ac:dyDescent="0.35"/>
    <row r="139" ht="33.75" customHeight="1" x14ac:dyDescent="0.35"/>
    <row r="140" ht="33.75" customHeight="1" x14ac:dyDescent="0.35"/>
    <row r="141" ht="33.75" customHeight="1" x14ac:dyDescent="0.35"/>
    <row r="142" ht="33.75" customHeight="1" x14ac:dyDescent="0.35"/>
    <row r="143" ht="33.75" customHeight="1" x14ac:dyDescent="0.35"/>
    <row r="144" ht="33.75" customHeight="1" x14ac:dyDescent="0.35"/>
    <row r="145" ht="33.75" customHeight="1" x14ac:dyDescent="0.35"/>
    <row r="146" ht="33.75" customHeight="1" x14ac:dyDescent="0.35"/>
    <row r="147" ht="33.75" customHeight="1" x14ac:dyDescent="0.35"/>
    <row r="148" ht="33.75" customHeight="1" x14ac:dyDescent="0.35"/>
    <row r="149" ht="33.75" customHeight="1" x14ac:dyDescent="0.35"/>
    <row r="150" ht="33.75" customHeight="1" x14ac:dyDescent="0.35"/>
    <row r="151" ht="33.75" customHeight="1" x14ac:dyDescent="0.35"/>
    <row r="152" ht="33.75" customHeight="1" x14ac:dyDescent="0.35"/>
    <row r="153" ht="33.75" customHeight="1" x14ac:dyDescent="0.35"/>
    <row r="154" ht="33.75" customHeight="1" x14ac:dyDescent="0.35"/>
    <row r="155" ht="33.75" customHeight="1" x14ac:dyDescent="0.35"/>
    <row r="156" ht="33.75" customHeight="1" x14ac:dyDescent="0.35"/>
    <row r="157" ht="33.75" customHeight="1" x14ac:dyDescent="0.35"/>
    <row r="158" ht="33.75" customHeight="1" x14ac:dyDescent="0.35"/>
    <row r="159" ht="34" customHeight="1" x14ac:dyDescent="0.35"/>
    <row r="160" ht="33.75" customHeight="1" x14ac:dyDescent="0.35"/>
    <row r="161" spans="3:8" ht="34" hidden="1" customHeight="1" x14ac:dyDescent="0.35"/>
    <row r="162" spans="3:8" ht="10.5" customHeight="1" x14ac:dyDescent="0.35"/>
    <row r="163" spans="3:8" ht="15" customHeight="1" x14ac:dyDescent="0.35"/>
    <row r="164" spans="3:8" ht="15" hidden="1" customHeight="1" x14ac:dyDescent="0.35">
      <c r="C164" s="6">
        <v>5738</v>
      </c>
      <c r="D164" s="5" t="s">
        <v>1300</v>
      </c>
      <c r="E164" s="4">
        <v>467</v>
      </c>
      <c r="F164" s="7">
        <f>IF(ISERROR(E164/'Capital Próprio'!$E$17),"",E164/'Capital Próprio'!$E$17)</f>
        <v>1.0167057151856807E-7</v>
      </c>
      <c r="G164" s="349"/>
      <c r="H164" s="349"/>
    </row>
    <row r="165" spans="3:8" ht="0" hidden="1" customHeight="1" x14ac:dyDescent="0.35">
      <c r="C165" s="6">
        <v>5739</v>
      </c>
      <c r="D165" s="5" t="s">
        <v>1301</v>
      </c>
      <c r="E165" s="4">
        <v>45</v>
      </c>
      <c r="F165" s="7">
        <f>IF(ISERROR(E165/'Capital Próprio'!$E$17),"",E165/'Capital Próprio'!$E$17)</f>
        <v>9.7969501463288283E-9</v>
      </c>
      <c r="G165" s="349"/>
      <c r="H165" s="349"/>
    </row>
    <row r="166" spans="3:8" ht="0" hidden="1" customHeight="1" x14ac:dyDescent="0.35">
      <c r="C166" s="6">
        <v>5718</v>
      </c>
      <c r="D166" s="5" t="s">
        <v>1302</v>
      </c>
      <c r="E166" s="4">
        <v>467</v>
      </c>
      <c r="F166" s="7" t="str">
        <f>IF(ISERROR(E166/'Capital Próprio'!$E$11),"",E166/'Capital Próprio'!$E$11)</f>
        <v/>
      </c>
      <c r="G166" s="349"/>
      <c r="H166" s="349"/>
    </row>
    <row r="167" spans="3:8" ht="0" hidden="1" customHeight="1" x14ac:dyDescent="0.35">
      <c r="C167" s="6">
        <v>5719</v>
      </c>
      <c r="D167" s="5" t="s">
        <v>1303</v>
      </c>
      <c r="E167" s="4">
        <v>45</v>
      </c>
      <c r="F167" s="7" t="str">
        <f>IF(ISERROR(E167/'Capital Próprio'!$E$11),"",E167/'Capital Próprio'!$E$11)</f>
        <v/>
      </c>
      <c r="G167" s="349"/>
      <c r="H167" s="349"/>
    </row>
  </sheetData>
  <mergeCells count="31">
    <mergeCell ref="E31:F31"/>
    <mergeCell ref="E37:F37"/>
    <mergeCell ref="E41:F41"/>
    <mergeCell ref="E51:F51"/>
    <mergeCell ref="J25:M25"/>
    <mergeCell ref="G31:H31"/>
    <mergeCell ref="E3:F3"/>
    <mergeCell ref="G3:H3"/>
    <mergeCell ref="N4:O4"/>
    <mergeCell ref="L23:M23"/>
    <mergeCell ref="L28:M28"/>
    <mergeCell ref="J23:K23"/>
    <mergeCell ref="J28:K28"/>
    <mergeCell ref="K4:M4"/>
    <mergeCell ref="E21:F21"/>
    <mergeCell ref="E4:F4"/>
    <mergeCell ref="E5:F5"/>
    <mergeCell ref="E11:F11"/>
    <mergeCell ref="J13:M13"/>
    <mergeCell ref="G4:H4"/>
    <mergeCell ref="G5:H5"/>
    <mergeCell ref="N25:O25"/>
    <mergeCell ref="G11:H11"/>
    <mergeCell ref="N30:O30"/>
    <mergeCell ref="N31:O31"/>
    <mergeCell ref="L3:M3"/>
    <mergeCell ref="N3:O3"/>
    <mergeCell ref="N23:O23"/>
    <mergeCell ref="J30:M30"/>
    <mergeCell ref="J31:K31"/>
    <mergeCell ref="L31:M31"/>
  </mergeCells>
  <phoneticPr fontId="24" type="noConversion"/>
  <pageMargins left="0.511811024" right="0.511811024" top="0.78740157499999996" bottom="0.78740157499999996" header="0.31496062000000002" footer="0.31496062000000002"/>
  <pageSetup paperSize="9" orientation="portrait"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4"/>
  <dimension ref="A1:V129"/>
  <sheetViews>
    <sheetView showGridLines="0" zoomScaleNormal="100" workbookViewId="0">
      <pane ySplit="2" topLeftCell="A46" activePane="bottomLeft" state="frozen"/>
      <selection pane="bottomLeft" activeCell="J57" sqref="J57"/>
    </sheetView>
  </sheetViews>
  <sheetFormatPr defaultColWidth="0" defaultRowHeight="0" customHeight="1" zeroHeight="1" x14ac:dyDescent="0.35"/>
  <cols>
    <col min="1" max="2" width="1.6328125" customWidth="1"/>
    <col min="3" max="3" width="14.90625" customWidth="1"/>
    <col min="4" max="4" width="55.7265625" customWidth="1"/>
    <col min="5" max="5" width="24.36328125" customWidth="1"/>
    <col min="6" max="6" width="16.54296875" customWidth="1"/>
    <col min="7" max="7" width="26.08984375" customWidth="1"/>
    <col min="8" max="8" width="14.81640625" customWidth="1"/>
    <col min="9" max="9" width="7.81640625" customWidth="1"/>
    <col min="10" max="10" width="21.81640625" customWidth="1"/>
    <col min="11" max="11" width="76" customWidth="1"/>
    <col min="12" max="12" width="27.7265625" bestFit="1" customWidth="1"/>
    <col min="13" max="13" width="18.7265625" customWidth="1"/>
    <col min="14" max="14" width="28.08984375" customWidth="1"/>
    <col min="15" max="15" width="15.6328125" customWidth="1"/>
    <col min="16" max="16" width="23.6328125" customWidth="1"/>
    <col min="17" max="21" width="20.7265625" customWidth="1"/>
    <col min="22" max="22" width="0" hidden="1" customWidth="1"/>
    <col min="23" max="16384" width="9.1796875" hidden="1"/>
  </cols>
  <sheetData>
    <row r="1" spans="2:16" s="10" customFormat="1" ht="26.5" customHeight="1" x14ac:dyDescent="0.55000000000000004">
      <c r="B1" s="56"/>
      <c r="C1" s="57"/>
    </row>
    <row r="2" spans="2:16" s="10" customFormat="1" ht="23.25" customHeight="1" x14ac:dyDescent="0.35">
      <c r="B2" s="537" t="s">
        <v>1242</v>
      </c>
    </row>
    <row r="3" spans="2:16" ht="20.5" customHeight="1" thickBot="1" x14ac:dyDescent="0.4">
      <c r="E3" s="694" t="s">
        <v>1243</v>
      </c>
      <c r="F3" s="694"/>
      <c r="G3" s="694" t="s">
        <v>1244</v>
      </c>
      <c r="H3" s="694"/>
      <c r="L3" s="694" t="s">
        <v>1243</v>
      </c>
      <c r="M3" s="694"/>
      <c r="N3" s="694" t="s">
        <v>1244</v>
      </c>
      <c r="O3" s="694"/>
    </row>
    <row r="4" spans="2:16" ht="30" customHeight="1" thickTop="1" thickBot="1" x14ac:dyDescent="0.4">
      <c r="C4" s="54" t="s">
        <v>318</v>
      </c>
      <c r="D4" s="92" t="s">
        <v>1334</v>
      </c>
      <c r="E4" s="663">
        <f>IF(ISERROR($E$5+$E$15+$E$25+$E$35+$E$45+$E$55+$E$65),"",$E$5+$E$15+$E$25+$E$35+$E$45+$E$55+$E$65)</f>
        <v>1938036280.8599999</v>
      </c>
      <c r="F4" s="664"/>
      <c r="G4" s="663">
        <f>IF(ISERROR($G$5+$G$15+$G$25+$G$35+$G$45+$G$55+$G$65),"",$G$5+$G$15+$G$25+$G$35+$G$45+$G$55+$G$65)</f>
        <v>-2846941.32</v>
      </c>
      <c r="H4" s="664"/>
      <c r="J4" s="92" t="str">
        <f>C4</f>
        <v>2.3</v>
      </c>
      <c r="K4" s="671" t="s">
        <v>1335</v>
      </c>
      <c r="L4" s="672"/>
      <c r="M4" s="673"/>
      <c r="N4" s="671"/>
      <c r="O4" s="672"/>
      <c r="P4" s="370"/>
    </row>
    <row r="5" spans="2:16" ht="30" customHeight="1" thickTop="1" thickBot="1" x14ac:dyDescent="0.4">
      <c r="C5" s="30" t="s">
        <v>320</v>
      </c>
      <c r="D5" s="95" t="s">
        <v>321</v>
      </c>
      <c r="E5" s="655">
        <f>IF(ISERROR(SUM(E6:E14)),"",SUM(E6:E14))</f>
        <v>1006980995.0899999</v>
      </c>
      <c r="F5" s="655"/>
      <c r="G5" s="655">
        <f>IF(ISERROR(SUM(G6:G14)),"",SUM(G6:G14))</f>
        <v>-2553147.19</v>
      </c>
      <c r="H5" s="655"/>
      <c r="J5" s="30" t="str">
        <f>C5</f>
        <v>2.3.1</v>
      </c>
      <c r="K5" s="58" t="str">
        <f>D5</f>
        <v>Contas a pagar</v>
      </c>
      <c r="L5" s="99">
        <f>IF(ISERROR($E$5),"",$E$5)</f>
        <v>1006980995.0899999</v>
      </c>
      <c r="M5" s="91">
        <f>IF(ISERROR(L5/$N$5),"",L5/$N$5)</f>
        <v>-394.4077329478211</v>
      </c>
      <c r="N5" s="446">
        <f>IF(ISERROR($G$5),"",$G$5)</f>
        <v>-2553147.19</v>
      </c>
      <c r="O5" s="258"/>
    </row>
    <row r="6" spans="2:16" ht="30" customHeight="1" thickTop="1" thickBot="1" x14ac:dyDescent="0.4">
      <c r="C6" s="34" t="s">
        <v>322</v>
      </c>
      <c r="D6" s="309" t="s">
        <v>905</v>
      </c>
      <c r="E6" s="322">
        <f>-Balancete!F141</f>
        <v>227800684.3499999</v>
      </c>
      <c r="F6" s="35">
        <f>IF(ISERROR(E6/$E$5),"",E6/$E$5)</f>
        <v>0.22622143363255828</v>
      </c>
      <c r="G6" s="322">
        <f>-Balancete!G141</f>
        <v>0</v>
      </c>
      <c r="H6" s="35"/>
      <c r="J6" s="30" t="str">
        <f>C15</f>
        <v>2.3.2</v>
      </c>
      <c r="K6" s="58" t="str">
        <f>D15</f>
        <v>Participantes e Participadas</v>
      </c>
      <c r="L6" s="99">
        <f>IF(ISERROR($E$15),"",$E$15)</f>
        <v>0</v>
      </c>
      <c r="M6" s="91">
        <f t="shared" ref="M6:M13" si="0">IF(ISERROR(L6/$N$5),"",L6/$N$5)</f>
        <v>0</v>
      </c>
      <c r="N6" s="446">
        <f>IF(ISERROR($G$15),"",$G$15)</f>
        <v>0</v>
      </c>
      <c r="O6" s="258"/>
    </row>
    <row r="7" spans="2:16" ht="30" customHeight="1" thickTop="1" thickBot="1" x14ac:dyDescent="0.4">
      <c r="C7" s="34" t="s">
        <v>325</v>
      </c>
      <c r="D7" s="309" t="s">
        <v>906</v>
      </c>
      <c r="E7" s="322"/>
      <c r="F7" s="35">
        <f t="shared" ref="F7:F14" si="1">IF(ISERROR(E7/$E$5),"",E7/$E$5)</f>
        <v>0</v>
      </c>
      <c r="G7" s="322"/>
      <c r="H7" s="35"/>
      <c r="J7" s="30" t="str">
        <f>C25</f>
        <v>2.3.3</v>
      </c>
      <c r="K7" s="58" t="str">
        <f>D25</f>
        <v>Pessoal</v>
      </c>
      <c r="L7" s="99">
        <f>IF(ISERROR($E$25),"",$E$25)</f>
        <v>0</v>
      </c>
      <c r="M7" s="91">
        <f t="shared" si="0"/>
        <v>0</v>
      </c>
      <c r="N7" s="446">
        <f>IF(ISERROR($G$25),"",$G$25)</f>
        <v>0</v>
      </c>
      <c r="O7" s="258"/>
    </row>
    <row r="8" spans="2:16" ht="30" customHeight="1" thickTop="1" thickBot="1" x14ac:dyDescent="0.4">
      <c r="C8" s="34" t="s">
        <v>328</v>
      </c>
      <c r="D8" s="309" t="s">
        <v>1336</v>
      </c>
      <c r="E8" s="322">
        <f>-Balancete!F143</f>
        <v>0</v>
      </c>
      <c r="F8" s="35">
        <f t="shared" si="1"/>
        <v>0</v>
      </c>
      <c r="G8" s="322">
        <f>-Balancete!H143</f>
        <v>0</v>
      </c>
      <c r="H8" s="35"/>
      <c r="J8" s="30" t="str">
        <f>C35</f>
        <v>2.3.4</v>
      </c>
      <c r="K8" s="58" t="str">
        <f>D35</f>
        <v>Empréstimos de Curto Prazo</v>
      </c>
      <c r="L8" s="99">
        <f>IF(ISERROR($E$35),"",$E$35)</f>
        <v>0</v>
      </c>
      <c r="M8" s="91">
        <f t="shared" si="0"/>
        <v>0</v>
      </c>
      <c r="N8" s="446">
        <f>IF(ISERROR($E$35),"",$E$35)</f>
        <v>0</v>
      </c>
      <c r="O8" s="258"/>
    </row>
    <row r="9" spans="2:16" ht="30" customHeight="1" thickTop="1" thickBot="1" x14ac:dyDescent="0.4">
      <c r="C9" s="34" t="s">
        <v>331</v>
      </c>
      <c r="D9" s="309" t="s">
        <v>1337</v>
      </c>
      <c r="E9" s="322">
        <f>-Balancete!F139</f>
        <v>291386218.22000003</v>
      </c>
      <c r="F9" s="35">
        <f t="shared" si="1"/>
        <v>0.28936615451611092</v>
      </c>
      <c r="G9" s="322">
        <f>-Balancete!G139</f>
        <v>0</v>
      </c>
      <c r="H9" s="35"/>
      <c r="J9" s="30" t="str">
        <f>C45</f>
        <v>2.3.5</v>
      </c>
      <c r="K9" s="58" t="str">
        <f>D45</f>
        <v>Parte Correspondente dos Empréstimos de Médio e Longo Prazo</v>
      </c>
      <c r="L9" s="99">
        <f>IF(ISERROR($E$45),"",$E$45)</f>
        <v>0</v>
      </c>
      <c r="M9" s="91">
        <f t="shared" si="0"/>
        <v>0</v>
      </c>
      <c r="N9" s="446">
        <f>IF(ISERROR($E$45),"",$E$45)</f>
        <v>0</v>
      </c>
      <c r="O9" s="371"/>
      <c r="P9" s="70"/>
    </row>
    <row r="10" spans="2:16" ht="30" customHeight="1" thickTop="1" thickBot="1" x14ac:dyDescent="0.4">
      <c r="C10" s="34" t="s">
        <v>334</v>
      </c>
      <c r="D10" s="309" t="s">
        <v>916</v>
      </c>
      <c r="E10" s="322">
        <f>E55</f>
        <v>487794092.52000004</v>
      </c>
      <c r="F10" s="35">
        <f t="shared" si="1"/>
        <v>0.48441241185133088</v>
      </c>
      <c r="G10" s="322">
        <f>-Balancete!G192</f>
        <v>0</v>
      </c>
      <c r="H10" s="35"/>
      <c r="J10" s="30" t="str">
        <f>C55</f>
        <v>2.3.6</v>
      </c>
      <c r="K10" s="58" t="str">
        <f>D55</f>
        <v>Estado</v>
      </c>
      <c r="L10" s="99">
        <f>IF(ISERROR($E$55),"",$E$55)</f>
        <v>487794092.52000004</v>
      </c>
      <c r="M10" s="91">
        <f t="shared" si="0"/>
        <v>-191.05600117006966</v>
      </c>
      <c r="N10" s="446">
        <f>IF(ISERROR($G$55),"",G$55)</f>
        <v>0</v>
      </c>
      <c r="O10" s="258"/>
    </row>
    <row r="11" spans="2:16" ht="30" customHeight="1" thickTop="1" thickBot="1" x14ac:dyDescent="0.4">
      <c r="C11" s="34" t="s">
        <v>365</v>
      </c>
      <c r="D11" s="309" t="s">
        <v>1338</v>
      </c>
      <c r="E11" s="322"/>
      <c r="F11" s="35">
        <f t="shared" si="1"/>
        <v>0</v>
      </c>
      <c r="G11" s="322"/>
      <c r="H11" s="35"/>
      <c r="J11" s="30" t="str">
        <f>C65</f>
        <v>2.3.7</v>
      </c>
      <c r="K11" s="58" t="str">
        <f>D65</f>
        <v>Outros Passivos Correntes</v>
      </c>
      <c r="L11" s="99">
        <f>IF(ISERROR($E$65),"",$E$65)</f>
        <v>443261193.25</v>
      </c>
      <c r="M11" s="91">
        <f t="shared" si="0"/>
        <v>-173.61364632095496</v>
      </c>
      <c r="N11" s="446">
        <f>IF(ISERROR($G$65),"",$G$65)</f>
        <v>-293794.13</v>
      </c>
      <c r="O11" s="258"/>
    </row>
    <row r="12" spans="2:16" ht="30" customHeight="1" thickTop="1" thickBot="1" x14ac:dyDescent="0.4">
      <c r="C12" s="34" t="s">
        <v>379</v>
      </c>
      <c r="D12" s="309" t="s">
        <v>1339</v>
      </c>
      <c r="E12" s="322"/>
      <c r="F12" s="35">
        <f t="shared" si="1"/>
        <v>0</v>
      </c>
      <c r="G12" s="323">
        <v>-2553147.19</v>
      </c>
      <c r="H12" s="35"/>
      <c r="J12" s="30"/>
      <c r="K12" s="58"/>
      <c r="L12" s="99">
        <f>IF(ISERROR($E$74),"",$E$74)</f>
        <v>0</v>
      </c>
      <c r="M12" s="91">
        <f t="shared" si="0"/>
        <v>0</v>
      </c>
      <c r="N12" s="446">
        <f>IF(ISERROR($E$74),"",$E$74)</f>
        <v>0</v>
      </c>
      <c r="O12" s="258"/>
    </row>
    <row r="13" spans="2:16" ht="30" customHeight="1" thickTop="1" thickBot="1" x14ac:dyDescent="0.4">
      <c r="C13" s="34" t="s">
        <v>382</v>
      </c>
      <c r="D13" s="326"/>
      <c r="E13" s="322"/>
      <c r="F13" s="35">
        <f t="shared" si="1"/>
        <v>0</v>
      </c>
      <c r="G13" s="322"/>
      <c r="H13" s="35"/>
      <c r="J13" s="30"/>
      <c r="K13" s="58"/>
      <c r="L13" s="99">
        <f>IF(ISERROR($E$84),"",$E$84)</f>
        <v>0</v>
      </c>
      <c r="M13" s="91">
        <f t="shared" si="0"/>
        <v>0</v>
      </c>
      <c r="N13" s="446">
        <f>IF(ISERROR($E$84),"",$E$84)</f>
        <v>0</v>
      </c>
      <c r="O13" s="258"/>
    </row>
    <row r="14" spans="2:16" ht="30" customHeight="1" thickTop="1" thickBot="1" x14ac:dyDescent="0.4">
      <c r="C14" s="34" t="s">
        <v>1340</v>
      </c>
      <c r="D14" s="326"/>
      <c r="E14" s="322"/>
      <c r="F14" s="35">
        <f t="shared" si="1"/>
        <v>0</v>
      </c>
      <c r="G14" s="335"/>
      <c r="H14" s="35"/>
    </row>
    <row r="15" spans="2:16" ht="30" customHeight="1" thickTop="1" thickBot="1" x14ac:dyDescent="0.4">
      <c r="C15" s="30" t="s">
        <v>384</v>
      </c>
      <c r="D15" s="37" t="s">
        <v>1341</v>
      </c>
      <c r="E15" s="702">
        <f>IF(ISERROR(SUM(E16:E24)),"",SUM(E16:E24))</f>
        <v>0</v>
      </c>
      <c r="F15" s="702"/>
      <c r="G15" s="702">
        <f>IF(ISERROR(SUM(G16:G24)),"",SUM(G16:G24))</f>
        <v>0</v>
      </c>
      <c r="H15" s="702"/>
      <c r="J15" s="671" t="s">
        <v>1342</v>
      </c>
      <c r="K15" s="672"/>
      <c r="L15" s="672"/>
      <c r="M15" s="673"/>
      <c r="N15" s="154"/>
      <c r="O15" s="154"/>
    </row>
    <row r="16" spans="2:16" ht="30" customHeight="1" thickTop="1" thickBot="1" x14ac:dyDescent="0.4">
      <c r="C16" s="34" t="s">
        <v>386</v>
      </c>
      <c r="D16" s="309" t="s">
        <v>951</v>
      </c>
      <c r="E16" s="324">
        <v>0</v>
      </c>
      <c r="F16" s="35" t="str">
        <f>IF(ISERROR(E16/$E$15),"",E16/$E$15)</f>
        <v/>
      </c>
      <c r="G16" s="335"/>
      <c r="H16" s="35"/>
      <c r="J16" s="30" t="str">
        <f>C5</f>
        <v>2.3.1</v>
      </c>
      <c r="K16" s="58" t="str">
        <f>D5</f>
        <v>Contas a pagar</v>
      </c>
      <c r="L16" s="104">
        <f>IF(ISERROR($E$5),"",$E$5)</f>
        <v>1006980995.0899999</v>
      </c>
      <c r="M16" s="35">
        <f>IF(ISERROR(L16/$L$19),"",L16/$L$19)</f>
        <v>2.064356683550268</v>
      </c>
      <c r="N16" s="446">
        <f>IF(ISERROR($G$5),"",$G$5)</f>
        <v>-2553147.19</v>
      </c>
      <c r="O16" s="258"/>
    </row>
    <row r="17" spans="3:16" ht="30" customHeight="1" thickTop="1" thickBot="1" x14ac:dyDescent="0.4">
      <c r="C17" s="34" t="s">
        <v>387</v>
      </c>
      <c r="D17" s="309" t="s">
        <v>952</v>
      </c>
      <c r="E17" s="324"/>
      <c r="F17" s="35" t="str">
        <f t="shared" ref="F17:F24" si="2">IF(ISERROR(E17/$E$15),"",E17/$E$15)</f>
        <v/>
      </c>
      <c r="G17" s="335"/>
      <c r="H17" s="35"/>
      <c r="J17" s="30" t="str">
        <f>C15</f>
        <v>2.3.2</v>
      </c>
      <c r="K17" s="58" t="str">
        <f>D15</f>
        <v>Participantes e Participadas</v>
      </c>
      <c r="L17" s="104">
        <f>IF(ISERROR($E$15),"",$E$15)</f>
        <v>0</v>
      </c>
      <c r="M17" s="35">
        <f t="shared" ref="M17:M18" si="3">IF(ISERROR(L17/$L$19),"",L17/$L$19)</f>
        <v>0</v>
      </c>
      <c r="N17" s="446">
        <f>IF(ISERROR($G$15),"",$G$15)</f>
        <v>0</v>
      </c>
      <c r="O17" s="258"/>
    </row>
    <row r="18" spans="3:16" ht="30" customHeight="1" thickTop="1" thickBot="1" x14ac:dyDescent="0.4">
      <c r="C18" s="34" t="s">
        <v>388</v>
      </c>
      <c r="D18" s="309"/>
      <c r="E18" s="324"/>
      <c r="F18" s="35" t="str">
        <f t="shared" si="2"/>
        <v/>
      </c>
      <c r="G18" s="335"/>
      <c r="H18" s="35"/>
      <c r="J18" s="30" t="str">
        <f>C25</f>
        <v>2.3.3</v>
      </c>
      <c r="K18" s="58" t="str">
        <f>D25</f>
        <v>Pessoal</v>
      </c>
      <c r="L18" s="104">
        <f>IF(ISERROR($E$25),"",$E$25)</f>
        <v>0</v>
      </c>
      <c r="M18" s="35">
        <f t="shared" si="3"/>
        <v>0</v>
      </c>
      <c r="N18" s="446">
        <f>IF(ISERROR($G$25),"",$G$25)</f>
        <v>0</v>
      </c>
      <c r="O18" s="448"/>
    </row>
    <row r="19" spans="3:16" ht="30" customHeight="1" thickTop="1" thickBot="1" x14ac:dyDescent="0.4">
      <c r="C19" s="34" t="s">
        <v>389</v>
      </c>
      <c r="D19" s="309"/>
      <c r="E19" s="324"/>
      <c r="F19" s="35" t="str">
        <f t="shared" si="2"/>
        <v/>
      </c>
      <c r="G19" s="335"/>
      <c r="H19" s="35"/>
      <c r="J19" s="30" t="str">
        <f>C55</f>
        <v>2.3.6</v>
      </c>
      <c r="K19" s="58" t="str">
        <f>D55</f>
        <v>Estado</v>
      </c>
      <c r="L19" s="104">
        <f>IF(ISERROR($E$55),"",$E$55)</f>
        <v>487794092.52000004</v>
      </c>
      <c r="M19" s="35">
        <f t="shared" ref="M19" si="4">IF(ISERROR(L19/$L$19),"",L19/$L$19)</f>
        <v>1</v>
      </c>
      <c r="N19" s="446">
        <f>IF(ISERROR($E$35),"",$E$35)</f>
        <v>0</v>
      </c>
      <c r="O19" s="258"/>
    </row>
    <row r="20" spans="3:16" ht="30" customHeight="1" thickTop="1" thickBot="1" x14ac:dyDescent="0.4">
      <c r="C20" s="34" t="s">
        <v>1343</v>
      </c>
      <c r="D20" s="326"/>
      <c r="E20" s="324"/>
      <c r="F20" s="35" t="str">
        <f t="shared" si="2"/>
        <v/>
      </c>
      <c r="G20" s="335"/>
      <c r="H20" s="35"/>
      <c r="J20" s="30" t="str">
        <f>C45</f>
        <v>2.3.5</v>
      </c>
      <c r="K20" s="58" t="str">
        <f>D45</f>
        <v>Parte Correspondente dos Empréstimos de Médio e Longo Prazo</v>
      </c>
      <c r="L20" s="104">
        <f>IF(ISERROR($E$45),"",$E$45)</f>
        <v>0</v>
      </c>
      <c r="M20" s="35">
        <f t="shared" ref="M20:M21" si="5">IF(ISERROR(L20/$L$19),"",L20/$L$19)</f>
        <v>0</v>
      </c>
      <c r="N20" s="446">
        <f>IF(ISERROR($E$45),"",$E$45)</f>
        <v>0</v>
      </c>
      <c r="O20" s="258"/>
    </row>
    <row r="21" spans="3:16" ht="30" customHeight="1" thickTop="1" thickBot="1" x14ac:dyDescent="0.4">
      <c r="C21" s="34" t="s">
        <v>1344</v>
      </c>
      <c r="D21" s="326"/>
      <c r="E21" s="324"/>
      <c r="F21" s="35" t="str">
        <f t="shared" si="2"/>
        <v/>
      </c>
      <c r="G21" s="335"/>
      <c r="H21" s="35"/>
      <c r="J21" s="30"/>
      <c r="K21" s="58"/>
      <c r="L21" s="104"/>
      <c r="M21" s="35">
        <f t="shared" si="5"/>
        <v>0</v>
      </c>
      <c r="N21" s="258"/>
      <c r="O21" s="258"/>
    </row>
    <row r="22" spans="3:16" ht="30" customHeight="1" thickTop="1" thickBot="1" x14ac:dyDescent="0.4">
      <c r="C22" s="34" t="s">
        <v>1345</v>
      </c>
      <c r="D22" s="326"/>
      <c r="E22" s="324"/>
      <c r="F22" s="35" t="str">
        <f t="shared" si="2"/>
        <v/>
      </c>
      <c r="G22" s="335"/>
      <c r="H22" s="35"/>
      <c r="J22" s="712" t="s">
        <v>1253</v>
      </c>
      <c r="K22" s="712"/>
      <c r="L22" s="703">
        <f>IF(ISERROR(SUM($L$16:$L$21)),"",SUM($L$16:$L$21))</f>
        <v>1494775087.6099999</v>
      </c>
      <c r="M22" s="703"/>
      <c r="N22" s="709">
        <f>IF(ISERROR(SUM($N$16:$N$21)),"",SUM($N$16:$N$21))</f>
        <v>-2553147.19</v>
      </c>
      <c r="O22" s="709"/>
    </row>
    <row r="23" spans="3:16" ht="30" customHeight="1" thickTop="1" thickBot="1" x14ac:dyDescent="0.4">
      <c r="C23" s="34" t="s">
        <v>1346</v>
      </c>
      <c r="D23" s="326"/>
      <c r="E23" s="324"/>
      <c r="F23" s="35" t="str">
        <f t="shared" si="2"/>
        <v/>
      </c>
      <c r="G23" s="335"/>
      <c r="H23" s="35"/>
      <c r="M23" s="19"/>
    </row>
    <row r="24" spans="3:16" ht="30" customHeight="1" thickTop="1" thickBot="1" x14ac:dyDescent="0.4">
      <c r="C24" s="34" t="s">
        <v>1347</v>
      </c>
      <c r="D24" s="326"/>
      <c r="E24" s="324"/>
      <c r="F24" s="35" t="str">
        <f t="shared" si="2"/>
        <v/>
      </c>
      <c r="G24" s="335"/>
      <c r="H24" s="35"/>
      <c r="J24" s="671" t="s">
        <v>1348</v>
      </c>
      <c r="K24" s="672"/>
      <c r="L24" s="672"/>
      <c r="M24" s="672"/>
      <c r="N24" s="710"/>
      <c r="O24" s="711"/>
    </row>
    <row r="25" spans="3:16" ht="30" customHeight="1" thickTop="1" thickBot="1" x14ac:dyDescent="0.4">
      <c r="C25" s="30" t="s">
        <v>390</v>
      </c>
      <c r="D25" s="37" t="s">
        <v>954</v>
      </c>
      <c r="E25" s="702">
        <f>IF(ISERROR(SUM(E26:E34)),"",SUM(E26:E34))</f>
        <v>0</v>
      </c>
      <c r="F25" s="702"/>
      <c r="G25" s="702">
        <f>-IF(ISERROR(SUM(G26:G34)),"",SUM(G26:G34))</f>
        <v>0</v>
      </c>
      <c r="H25" s="702"/>
      <c r="J25" s="651" t="s">
        <v>1253</v>
      </c>
      <c r="K25" s="651"/>
      <c r="L25" s="703">
        <f>IF(ISERROR(SUM($L$5:$L$13)),"",SUM($L$5:$L$13))</f>
        <v>1938036280.8599999</v>
      </c>
      <c r="M25" s="665"/>
      <c r="N25" s="703">
        <f>IF(ISERROR(SUM($N$5:$N$13)),"",SUM($N$5:$N$13))</f>
        <v>-2846941.32</v>
      </c>
      <c r="O25" s="665"/>
      <c r="P25" s="309"/>
    </row>
    <row r="26" spans="3:16" ht="30" customHeight="1" thickTop="1" thickBot="1" x14ac:dyDescent="0.4">
      <c r="C26" s="34" t="s">
        <v>1349</v>
      </c>
      <c r="D26" s="326" t="s">
        <v>1350</v>
      </c>
      <c r="E26" s="324">
        <f>-Balancete!F181</f>
        <v>0</v>
      </c>
      <c r="F26" s="35" t="str">
        <f>IF(ISERROR(E26/$E$25),"",E26/$E$25)</f>
        <v/>
      </c>
      <c r="G26" s="324">
        <f>-Balancete!G181</f>
        <v>0</v>
      </c>
      <c r="H26" s="35"/>
    </row>
    <row r="27" spans="3:16" ht="30" customHeight="1" thickTop="1" thickBot="1" x14ac:dyDescent="0.4">
      <c r="C27" s="34" t="s">
        <v>1351</v>
      </c>
      <c r="D27" s="326" t="s">
        <v>961</v>
      </c>
      <c r="E27" s="324"/>
      <c r="F27" s="35" t="str">
        <f t="shared" ref="F27:F34" si="6">IF(ISERROR(E27/$E$25),"",E27/$E$25)</f>
        <v/>
      </c>
      <c r="G27" s="324"/>
      <c r="H27" s="35"/>
    </row>
    <row r="28" spans="3:16" ht="30" customHeight="1" thickTop="1" thickBot="1" x14ac:dyDescent="0.4">
      <c r="C28" s="34" t="s">
        <v>1352</v>
      </c>
      <c r="D28" s="326" t="s">
        <v>1353</v>
      </c>
      <c r="E28" s="324"/>
      <c r="F28" s="35" t="str">
        <f t="shared" si="6"/>
        <v/>
      </c>
      <c r="G28" s="324">
        <f>-Balancete!G187</f>
        <v>0</v>
      </c>
      <c r="H28" s="35"/>
      <c r="L28" s="108">
        <f>G4-313116786.31</f>
        <v>-315963727.63</v>
      </c>
      <c r="M28" s="109"/>
      <c r="O28" s="70"/>
      <c r="P28" s="70"/>
    </row>
    <row r="29" spans="3:16" ht="30" customHeight="1" thickTop="1" thickBot="1" x14ac:dyDescent="0.4">
      <c r="C29" s="34" t="s">
        <v>1354</v>
      </c>
      <c r="D29" s="326" t="s">
        <v>1355</v>
      </c>
      <c r="E29" s="324"/>
      <c r="F29" s="35" t="str">
        <f t="shared" si="6"/>
        <v/>
      </c>
      <c r="G29" s="324"/>
      <c r="H29" s="35"/>
      <c r="M29" s="136"/>
      <c r="O29" s="70"/>
      <c r="P29" s="70"/>
    </row>
    <row r="30" spans="3:16" ht="30" customHeight="1" thickTop="1" thickBot="1" x14ac:dyDescent="0.4">
      <c r="C30" s="34" t="s">
        <v>1356</v>
      </c>
      <c r="D30" s="326"/>
      <c r="E30" s="324"/>
      <c r="F30" s="35" t="str">
        <f t="shared" si="6"/>
        <v/>
      </c>
      <c r="G30" s="335"/>
      <c r="H30" s="35"/>
      <c r="O30" s="70"/>
      <c r="P30" s="70"/>
    </row>
    <row r="31" spans="3:16" ht="30" customHeight="1" thickTop="1" thickBot="1" x14ac:dyDescent="0.4">
      <c r="C31" s="34" t="s">
        <v>1357</v>
      </c>
      <c r="D31" s="326"/>
      <c r="E31" s="324"/>
      <c r="F31" s="35" t="str">
        <f t="shared" si="6"/>
        <v/>
      </c>
      <c r="G31" s="335"/>
      <c r="H31" s="35"/>
      <c r="O31" s="70"/>
      <c r="P31" s="70"/>
    </row>
    <row r="32" spans="3:16" ht="30" customHeight="1" thickTop="1" thickBot="1" x14ac:dyDescent="0.4">
      <c r="C32" s="34" t="s">
        <v>1358</v>
      </c>
      <c r="D32" s="326"/>
      <c r="E32" s="324"/>
      <c r="F32" s="35" t="str">
        <f t="shared" si="6"/>
        <v/>
      </c>
      <c r="G32" s="335"/>
      <c r="H32" s="35"/>
      <c r="O32" s="70"/>
      <c r="P32" s="70"/>
    </row>
    <row r="33" spans="2:21" ht="30" customHeight="1" thickTop="1" thickBot="1" x14ac:dyDescent="0.4">
      <c r="C33" s="34" t="s">
        <v>1359</v>
      </c>
      <c r="D33" s="326"/>
      <c r="E33" s="324"/>
      <c r="F33" s="35" t="str">
        <f t="shared" si="6"/>
        <v/>
      </c>
      <c r="G33" s="335"/>
      <c r="H33" s="35"/>
      <c r="O33" s="70"/>
      <c r="P33" s="70"/>
    </row>
    <row r="34" spans="2:21" ht="30" customHeight="1" thickTop="1" thickBot="1" x14ac:dyDescent="0.4">
      <c r="C34" s="34" t="s">
        <v>1360</v>
      </c>
      <c r="D34" s="5"/>
      <c r="E34" s="103"/>
      <c r="F34" s="35" t="str">
        <f t="shared" si="6"/>
        <v/>
      </c>
      <c r="G34" s="335"/>
      <c r="H34" s="35"/>
      <c r="O34" s="70"/>
      <c r="P34" s="70"/>
    </row>
    <row r="35" spans="2:21" ht="30" customHeight="1" thickTop="1" thickBot="1" x14ac:dyDescent="0.4">
      <c r="C35" s="30" t="s">
        <v>392</v>
      </c>
      <c r="D35" s="37" t="s">
        <v>1361</v>
      </c>
      <c r="E35" s="702">
        <f>IF(ISERROR(SUM(E36:E44)),"",SUM(E36:E44))</f>
        <v>0</v>
      </c>
      <c r="F35" s="702"/>
      <c r="G35" s="348"/>
      <c r="H35" s="348"/>
      <c r="O35" s="70"/>
      <c r="P35" s="70"/>
    </row>
    <row r="36" spans="2:21" ht="30" customHeight="1" thickTop="1" thickBot="1" x14ac:dyDescent="0.4">
      <c r="C36" s="34" t="s">
        <v>394</v>
      </c>
      <c r="D36" s="309" t="s">
        <v>911</v>
      </c>
      <c r="E36" s="324"/>
      <c r="F36" s="35" t="str">
        <f>IF(ISERROR(E36/$E$35),"",E36/$E$35)</f>
        <v/>
      </c>
      <c r="G36" s="335"/>
      <c r="H36" s="35"/>
      <c r="O36" s="70"/>
      <c r="P36" s="70"/>
    </row>
    <row r="37" spans="2:21" ht="30" customHeight="1" thickTop="1" thickBot="1" x14ac:dyDescent="0.4">
      <c r="C37" s="34" t="s">
        <v>397</v>
      </c>
      <c r="D37" s="309" t="s">
        <v>912</v>
      </c>
      <c r="E37" s="324"/>
      <c r="F37" s="35" t="str">
        <f t="shared" ref="F37:F44" si="7">IF(ISERROR(E37/$E$35),"",E37/$E$35)</f>
        <v/>
      </c>
      <c r="G37" s="335"/>
      <c r="H37" s="35"/>
      <c r="O37" s="70"/>
      <c r="P37" s="70"/>
    </row>
    <row r="38" spans="2:21" ht="30" customHeight="1" thickTop="1" thickBot="1" x14ac:dyDescent="0.4">
      <c r="C38" s="34" t="s">
        <v>412</v>
      </c>
      <c r="D38" s="309" t="s">
        <v>1362</v>
      </c>
      <c r="E38" s="324"/>
      <c r="F38" s="35" t="str">
        <f t="shared" si="7"/>
        <v/>
      </c>
      <c r="G38" s="335"/>
      <c r="H38" s="35"/>
      <c r="J38" s="61"/>
      <c r="O38" s="70"/>
      <c r="P38" s="70"/>
    </row>
    <row r="39" spans="2:21" ht="30" customHeight="1" thickTop="1" thickBot="1" x14ac:dyDescent="0.4">
      <c r="C39" s="34" t="s">
        <v>415</v>
      </c>
      <c r="D39" s="326" t="s">
        <v>1363</v>
      </c>
      <c r="E39" s="324"/>
      <c r="F39" s="35" t="str">
        <f t="shared" si="7"/>
        <v/>
      </c>
      <c r="G39" s="335"/>
      <c r="H39" s="35"/>
      <c r="O39" s="70"/>
      <c r="P39" s="70"/>
    </row>
    <row r="40" spans="2:21" ht="30" customHeight="1" thickTop="1" thickBot="1" x14ac:dyDescent="0.4">
      <c r="C40" s="34" t="s">
        <v>1364</v>
      </c>
      <c r="D40" s="326"/>
      <c r="E40" s="324"/>
      <c r="F40" s="35" t="str">
        <f t="shared" si="7"/>
        <v/>
      </c>
      <c r="G40" s="335"/>
      <c r="H40" s="35"/>
      <c r="O40" s="70"/>
      <c r="P40" s="70"/>
    </row>
    <row r="41" spans="2:21" ht="30" customHeight="1" thickTop="1" thickBot="1" x14ac:dyDescent="0.4">
      <c r="C41" s="34" t="s">
        <v>1365</v>
      </c>
      <c r="D41" s="326"/>
      <c r="E41" s="324"/>
      <c r="F41" s="35" t="str">
        <f t="shared" si="7"/>
        <v/>
      </c>
      <c r="G41" s="335"/>
      <c r="H41" s="35"/>
      <c r="O41" s="70"/>
      <c r="P41" s="70"/>
    </row>
    <row r="42" spans="2:21" ht="30" customHeight="1" thickTop="1" thickBot="1" x14ac:dyDescent="0.4">
      <c r="C42" s="34" t="s">
        <v>1366</v>
      </c>
      <c r="D42" s="326"/>
      <c r="E42" s="324"/>
      <c r="F42" s="35" t="str">
        <f t="shared" si="7"/>
        <v/>
      </c>
      <c r="G42" s="335"/>
      <c r="H42" s="35"/>
      <c r="O42" s="70"/>
      <c r="P42" s="70"/>
    </row>
    <row r="43" spans="2:21" ht="30" customHeight="1" thickTop="1" thickBot="1" x14ac:dyDescent="0.4">
      <c r="C43" s="34" t="s">
        <v>1367</v>
      </c>
      <c r="D43" s="326"/>
      <c r="E43" s="324"/>
      <c r="F43" s="35" t="str">
        <f t="shared" si="7"/>
        <v/>
      </c>
      <c r="G43" s="335"/>
      <c r="H43" s="35"/>
      <c r="O43" s="70"/>
      <c r="P43" s="70"/>
    </row>
    <row r="44" spans="2:21" ht="30" customHeight="1" thickTop="1" thickBot="1" x14ac:dyDescent="0.4">
      <c r="C44" s="34" t="s">
        <v>1368</v>
      </c>
      <c r="D44" s="326"/>
      <c r="E44" s="324"/>
      <c r="F44" s="35" t="str">
        <f t="shared" si="7"/>
        <v/>
      </c>
      <c r="G44" s="335"/>
      <c r="H44" s="35"/>
      <c r="P44" s="70"/>
    </row>
    <row r="45" spans="2:21" ht="30" customHeight="1" thickTop="1" thickBot="1" x14ac:dyDescent="0.4">
      <c r="C45" s="30" t="s">
        <v>1369</v>
      </c>
      <c r="D45" s="37" t="s">
        <v>1370</v>
      </c>
      <c r="E45" s="702">
        <f>IF(ISERROR(SUM(E46:E54)),"",SUM(E46:E54))</f>
        <v>0</v>
      </c>
      <c r="F45" s="702"/>
      <c r="G45" s="348"/>
      <c r="H45" s="348"/>
      <c r="P45" s="70"/>
    </row>
    <row r="46" spans="2:21" ht="30" customHeight="1" thickTop="1" thickBot="1" x14ac:dyDescent="0.4">
      <c r="C46" s="34" t="s">
        <v>1371</v>
      </c>
      <c r="D46" s="326"/>
      <c r="E46" s="369"/>
      <c r="F46" s="35" t="str">
        <f>IF(ISERROR(E46/$E$45),"",E46/$E$45)</f>
        <v/>
      </c>
      <c r="G46" s="335"/>
      <c r="H46" s="35"/>
      <c r="J46" s="70"/>
      <c r="P46" s="70"/>
    </row>
    <row r="47" spans="2:21" s="1" customFormat="1" ht="30" customHeight="1" thickTop="1" thickBot="1" x14ac:dyDescent="0.4">
      <c r="B47"/>
      <c r="C47" s="34" t="s">
        <v>1372</v>
      </c>
      <c r="D47" s="326"/>
      <c r="E47" s="369"/>
      <c r="F47" s="35" t="str">
        <f t="shared" ref="F47:F54" si="8">IF(ISERROR(E47/$E$45),"",E47/$E$45)</f>
        <v/>
      </c>
      <c r="G47" s="335"/>
      <c r="H47" s="35"/>
      <c r="I47"/>
      <c r="J47"/>
      <c r="K47"/>
      <c r="L47"/>
      <c r="M47"/>
      <c r="N47"/>
      <c r="O47"/>
      <c r="P47" s="70"/>
      <c r="Q47"/>
      <c r="R47"/>
      <c r="S47"/>
      <c r="T47"/>
      <c r="U47"/>
    </row>
    <row r="48" spans="2:21" s="1" customFormat="1" ht="30" customHeight="1" thickTop="1" thickBot="1" x14ac:dyDescent="0.4">
      <c r="B48"/>
      <c r="C48" s="34" t="s">
        <v>1373</v>
      </c>
      <c r="D48" s="326"/>
      <c r="E48" s="369"/>
      <c r="F48" s="35" t="str">
        <f t="shared" si="8"/>
        <v/>
      </c>
      <c r="G48" s="335"/>
      <c r="H48" s="35"/>
      <c r="I48"/>
      <c r="J48"/>
      <c r="K48"/>
      <c r="L48"/>
      <c r="M48"/>
      <c r="N48"/>
      <c r="O48"/>
      <c r="P48" s="70"/>
      <c r="Q48"/>
      <c r="R48"/>
      <c r="S48"/>
      <c r="T48"/>
      <c r="U48"/>
    </row>
    <row r="49" spans="2:21" s="1" customFormat="1" ht="30" customHeight="1" thickTop="1" thickBot="1" x14ac:dyDescent="0.4">
      <c r="B49"/>
      <c r="C49" s="34" t="s">
        <v>1374</v>
      </c>
      <c r="D49" s="326"/>
      <c r="E49" s="369"/>
      <c r="F49" s="35" t="str">
        <f t="shared" si="8"/>
        <v/>
      </c>
      <c r="G49" s="335"/>
      <c r="H49" s="35"/>
      <c r="I49"/>
      <c r="J49"/>
      <c r="K49"/>
      <c r="L49"/>
      <c r="M49"/>
      <c r="N49"/>
      <c r="O49"/>
      <c r="P49" s="70"/>
      <c r="Q49"/>
      <c r="R49"/>
      <c r="S49"/>
      <c r="T49"/>
      <c r="U49"/>
    </row>
    <row r="50" spans="2:21" s="1" customFormat="1" ht="30" customHeight="1" thickTop="1" thickBot="1" x14ac:dyDescent="0.4">
      <c r="B50"/>
      <c r="C50" s="34" t="s">
        <v>1375</v>
      </c>
      <c r="D50" s="326"/>
      <c r="E50" s="369"/>
      <c r="F50" s="35" t="str">
        <f t="shared" si="8"/>
        <v/>
      </c>
      <c r="G50" s="335"/>
      <c r="H50" s="35"/>
      <c r="I50"/>
      <c r="J50"/>
      <c r="K50"/>
      <c r="L50"/>
      <c r="M50"/>
      <c r="N50"/>
      <c r="O50"/>
      <c r="P50" s="70"/>
      <c r="Q50"/>
      <c r="R50"/>
      <c r="S50"/>
      <c r="T50"/>
      <c r="U50"/>
    </row>
    <row r="51" spans="2:21" s="1" customFormat="1" ht="30" customHeight="1" thickTop="1" thickBot="1" x14ac:dyDescent="0.4">
      <c r="B51"/>
      <c r="C51" s="34" t="s">
        <v>1376</v>
      </c>
      <c r="D51" s="326"/>
      <c r="E51" s="369"/>
      <c r="F51" s="35" t="str">
        <f t="shared" si="8"/>
        <v/>
      </c>
      <c r="G51" s="335"/>
      <c r="H51" s="35"/>
      <c r="I51"/>
      <c r="J51"/>
      <c r="K51"/>
      <c r="L51"/>
      <c r="M51"/>
      <c r="N51"/>
      <c r="O51"/>
      <c r="P51" s="70"/>
      <c r="Q51"/>
      <c r="R51"/>
      <c r="S51"/>
      <c r="T51"/>
      <c r="U51"/>
    </row>
    <row r="52" spans="2:21" s="1" customFormat="1" ht="30" customHeight="1" thickTop="1" thickBot="1" x14ac:dyDescent="0.4">
      <c r="B52"/>
      <c r="C52" s="34" t="s">
        <v>1377</v>
      </c>
      <c r="D52" s="326"/>
      <c r="E52" s="369"/>
      <c r="F52" s="35" t="str">
        <f t="shared" si="8"/>
        <v/>
      </c>
      <c r="G52" s="335"/>
      <c r="H52" s="35"/>
      <c r="I52"/>
      <c r="J52"/>
      <c r="K52"/>
      <c r="L52"/>
      <c r="M52"/>
      <c r="N52"/>
      <c r="O52"/>
      <c r="P52"/>
      <c r="Q52"/>
      <c r="R52"/>
      <c r="S52"/>
      <c r="T52"/>
      <c r="U52"/>
    </row>
    <row r="53" spans="2:21" s="1" customFormat="1" ht="30" customHeight="1" thickTop="1" thickBot="1" x14ac:dyDescent="0.4">
      <c r="B53"/>
      <c r="C53" s="34" t="s">
        <v>1378</v>
      </c>
      <c r="D53" s="326"/>
      <c r="E53" s="369"/>
      <c r="F53" s="35" t="str">
        <f t="shared" si="8"/>
        <v/>
      </c>
      <c r="G53" s="335"/>
      <c r="H53" s="35"/>
      <c r="I53"/>
      <c r="J53"/>
      <c r="K53"/>
      <c r="L53"/>
      <c r="M53"/>
      <c r="N53"/>
      <c r="O53"/>
      <c r="P53"/>
      <c r="Q53"/>
      <c r="R53"/>
      <c r="S53"/>
      <c r="T53"/>
      <c r="U53"/>
    </row>
    <row r="54" spans="2:21" s="1" customFormat="1" ht="30" customHeight="1" thickTop="1" thickBot="1" x14ac:dyDescent="0.4">
      <c r="B54"/>
      <c r="C54" s="34" t="s">
        <v>1379</v>
      </c>
      <c r="D54" s="5"/>
      <c r="E54" s="4"/>
      <c r="F54" s="35" t="str">
        <f t="shared" si="8"/>
        <v/>
      </c>
      <c r="G54" s="335"/>
      <c r="H54" s="35"/>
      <c r="I54"/>
      <c r="J54" s="136">
        <f>E55-554079000</f>
        <v>-66284907.479999959</v>
      </c>
      <c r="K54"/>
      <c r="L54"/>
      <c r="M54"/>
      <c r="N54"/>
      <c r="O54"/>
      <c r="P54"/>
      <c r="Q54"/>
      <c r="R54"/>
      <c r="S54"/>
      <c r="T54"/>
      <c r="U54"/>
    </row>
    <row r="55" spans="2:21" s="1" customFormat="1" ht="30" customHeight="1" thickTop="1" thickBot="1" x14ac:dyDescent="0.4">
      <c r="B55"/>
      <c r="C55" s="30" t="s">
        <v>1380</v>
      </c>
      <c r="D55" s="96" t="s">
        <v>916</v>
      </c>
      <c r="E55" s="677">
        <f>IF(ISERROR(SUM(E56:E64)),"",SUM(E56:E64))</f>
        <v>487794092.52000004</v>
      </c>
      <c r="F55" s="677"/>
      <c r="G55" s="677">
        <f>IF(ISERROR(SUM(G56:G64)),"",SUM(G56:G64))</f>
        <v>0</v>
      </c>
      <c r="H55" s="677"/>
      <c r="I55"/>
      <c r="J55"/>
      <c r="K55"/>
      <c r="L55"/>
      <c r="M55"/>
      <c r="N55"/>
      <c r="O55"/>
      <c r="P55"/>
      <c r="Q55"/>
      <c r="R55"/>
      <c r="S55"/>
      <c r="T55"/>
      <c r="U55"/>
    </row>
    <row r="56" spans="2:21" s="1" customFormat="1" ht="30" customHeight="1" thickTop="1" thickBot="1" x14ac:dyDescent="0.4">
      <c r="B56"/>
      <c r="C56" s="34" t="s">
        <v>1381</v>
      </c>
      <c r="D56" s="326" t="s">
        <v>1382</v>
      </c>
      <c r="E56" s="324"/>
      <c r="F56" s="35">
        <f>IF(ISERROR(E56/$E$55),"",E56/$E$55)</f>
        <v>0</v>
      </c>
      <c r="G56" s="324">
        <f>-Balancete!G151</f>
        <v>0</v>
      </c>
      <c r="H56" s="35"/>
      <c r="I56"/>
      <c r="J56"/>
      <c r="K56"/>
      <c r="L56"/>
      <c r="M56"/>
      <c r="N56"/>
      <c r="O56"/>
      <c r="P56"/>
      <c r="Q56"/>
      <c r="R56"/>
      <c r="S56"/>
      <c r="T56"/>
      <c r="U56"/>
    </row>
    <row r="57" spans="2:21" s="1" customFormat="1" ht="30" customHeight="1" thickTop="1" thickBot="1" x14ac:dyDescent="0.4">
      <c r="B57"/>
      <c r="C57" s="34" t="s">
        <v>1383</v>
      </c>
      <c r="D57" s="326" t="s">
        <v>920</v>
      </c>
      <c r="E57" s="324">
        <f>Balancete!F154</f>
        <v>0</v>
      </c>
      <c r="F57" s="35">
        <f t="shared" ref="F57:F64" si="9">IF(ISERROR(E57/$E$55),"",E57/$E$55)</f>
        <v>0</v>
      </c>
      <c r="G57" s="324">
        <f>Balancete!H154</f>
        <v>0</v>
      </c>
      <c r="H57" s="35"/>
      <c r="I57"/>
      <c r="J57"/>
      <c r="K57"/>
      <c r="L57"/>
      <c r="M57"/>
      <c r="N57"/>
      <c r="O57"/>
      <c r="P57"/>
      <c r="Q57"/>
      <c r="R57"/>
      <c r="S57"/>
      <c r="T57"/>
      <c r="U57"/>
    </row>
    <row r="58" spans="2:21" s="1" customFormat="1" ht="30" customHeight="1" thickTop="1" thickBot="1" x14ac:dyDescent="0.4">
      <c r="B58"/>
      <c r="C58" s="34" t="s">
        <v>1384</v>
      </c>
      <c r="D58" s="326" t="s">
        <v>922</v>
      </c>
      <c r="E58" s="324">
        <f>-Balancete!F155</f>
        <v>273732067.35000002</v>
      </c>
      <c r="F58" s="35">
        <f t="shared" si="9"/>
        <v>0.56116314557207714</v>
      </c>
      <c r="G58" s="324">
        <f>-Balancete!G155</f>
        <v>0</v>
      </c>
      <c r="H58" s="35"/>
      <c r="I58"/>
      <c r="J58"/>
      <c r="K58"/>
      <c r="L58"/>
      <c r="M58"/>
      <c r="N58"/>
      <c r="O58"/>
      <c r="P58"/>
      <c r="Q58"/>
      <c r="R58"/>
      <c r="S58"/>
      <c r="T58"/>
      <c r="U58"/>
    </row>
    <row r="59" spans="2:21" s="1" customFormat="1" ht="30" customHeight="1" thickTop="1" thickBot="1" x14ac:dyDescent="0.4">
      <c r="B59"/>
      <c r="C59" s="34" t="s">
        <v>1385</v>
      </c>
      <c r="D59" s="326" t="s">
        <v>1386</v>
      </c>
      <c r="E59" s="324"/>
      <c r="F59" s="35">
        <f t="shared" si="9"/>
        <v>0</v>
      </c>
      <c r="G59" s="324"/>
      <c r="H59" s="35"/>
      <c r="I59"/>
      <c r="J59"/>
      <c r="K59"/>
      <c r="L59"/>
      <c r="M59"/>
      <c r="N59"/>
      <c r="O59"/>
      <c r="P59"/>
      <c r="Q59"/>
      <c r="R59"/>
      <c r="S59"/>
      <c r="T59"/>
      <c r="U59"/>
    </row>
    <row r="60" spans="2:21" s="1" customFormat="1" ht="30" customHeight="1" thickTop="1" thickBot="1" x14ac:dyDescent="0.4">
      <c r="B60"/>
      <c r="C60" s="34" t="s">
        <v>1387</v>
      </c>
      <c r="D60" s="326" t="s">
        <v>1388</v>
      </c>
      <c r="E60" s="324"/>
      <c r="F60" s="35">
        <f t="shared" si="9"/>
        <v>0</v>
      </c>
      <c r="G60" s="324">
        <f>-Balancete!G171</f>
        <v>0</v>
      </c>
      <c r="H60" s="35"/>
      <c r="I60"/>
      <c r="J60"/>
      <c r="K60"/>
      <c r="L60"/>
      <c r="M60"/>
      <c r="N60"/>
      <c r="O60"/>
      <c r="P60"/>
      <c r="Q60"/>
      <c r="R60"/>
      <c r="S60"/>
      <c r="T60"/>
      <c r="U60"/>
    </row>
    <row r="61" spans="2:21" s="1" customFormat="1" ht="30" customHeight="1" thickTop="1" thickBot="1" x14ac:dyDescent="0.4">
      <c r="B61"/>
      <c r="C61" s="34" t="s">
        <v>1389</v>
      </c>
      <c r="D61" s="326" t="s">
        <v>940</v>
      </c>
      <c r="E61" s="324">
        <f>-Balancete!F164</f>
        <v>0</v>
      </c>
      <c r="F61" s="35">
        <f t="shared" si="9"/>
        <v>0</v>
      </c>
      <c r="G61" s="324">
        <f>-Balancete!H164</f>
        <v>0</v>
      </c>
      <c r="H61" s="35"/>
      <c r="I61"/>
      <c r="J61"/>
      <c r="K61"/>
      <c r="L61"/>
      <c r="M61"/>
      <c r="N61"/>
      <c r="O61"/>
      <c r="P61"/>
      <c r="Q61"/>
      <c r="R61"/>
      <c r="S61"/>
      <c r="T61"/>
      <c r="U61"/>
    </row>
    <row r="62" spans="2:21" s="1" customFormat="1" ht="30" customHeight="1" thickTop="1" thickBot="1" x14ac:dyDescent="0.4">
      <c r="B62"/>
      <c r="C62" s="34" t="s">
        <v>1390</v>
      </c>
      <c r="D62" s="326" t="s">
        <v>949</v>
      </c>
      <c r="E62" s="324"/>
      <c r="F62" s="35">
        <f t="shared" si="9"/>
        <v>0</v>
      </c>
      <c r="G62" s="324"/>
      <c r="H62" s="35"/>
      <c r="I62"/>
      <c r="J62"/>
      <c r="K62"/>
      <c r="L62"/>
      <c r="M62"/>
      <c r="N62"/>
      <c r="O62"/>
      <c r="P62"/>
      <c r="Q62"/>
      <c r="R62"/>
      <c r="S62"/>
      <c r="T62"/>
      <c r="U62"/>
    </row>
    <row r="63" spans="2:21" s="1" customFormat="1" ht="30" customHeight="1" thickTop="1" thickBot="1" x14ac:dyDescent="0.4">
      <c r="B63"/>
      <c r="C63" s="34" t="s">
        <v>1391</v>
      </c>
      <c r="D63" s="326" t="s">
        <v>946</v>
      </c>
      <c r="E63" s="324">
        <f>-Balancete!F169</f>
        <v>214062025.17000002</v>
      </c>
      <c r="F63" s="35">
        <f t="shared" si="9"/>
        <v>0.43883685442792292</v>
      </c>
      <c r="G63" s="324">
        <f>-Balancete!H169</f>
        <v>0</v>
      </c>
      <c r="H63" s="35"/>
      <c r="I63"/>
      <c r="J63"/>
      <c r="K63"/>
      <c r="L63"/>
      <c r="M63"/>
      <c r="N63"/>
      <c r="O63"/>
      <c r="P63"/>
      <c r="Q63"/>
      <c r="R63"/>
      <c r="S63"/>
      <c r="T63"/>
      <c r="U63"/>
    </row>
    <row r="64" spans="2:21" s="1" customFormat="1" ht="30" customHeight="1" thickTop="1" thickBot="1" x14ac:dyDescent="0.4">
      <c r="B64"/>
      <c r="C64" s="34" t="s">
        <v>1392</v>
      </c>
      <c r="D64" s="326"/>
      <c r="E64" s="324"/>
      <c r="F64" s="35">
        <f t="shared" si="9"/>
        <v>0</v>
      </c>
      <c r="G64" s="335"/>
      <c r="H64" s="35"/>
      <c r="I64"/>
      <c r="J64"/>
      <c r="K64"/>
      <c r="L64"/>
      <c r="M64"/>
      <c r="N64"/>
      <c r="O64"/>
      <c r="P64"/>
      <c r="Q64"/>
      <c r="R64"/>
      <c r="S64"/>
      <c r="T64"/>
      <c r="U64"/>
    </row>
    <row r="65" spans="2:21" s="1" customFormat="1" ht="30" customHeight="1" thickTop="1" thickBot="1" x14ac:dyDescent="0.4">
      <c r="B65"/>
      <c r="C65" s="30" t="s">
        <v>1393</v>
      </c>
      <c r="D65" s="96" t="s">
        <v>1394</v>
      </c>
      <c r="E65" s="677">
        <f>IF(ISERROR(SUM(E66:E73)),"",SUM(E66:E73))</f>
        <v>443261193.25</v>
      </c>
      <c r="F65" s="677"/>
      <c r="G65" s="677">
        <f>IF(ISERROR(SUM(G66:G73)),"",SUM(G66:G73))</f>
        <v>-293794.13</v>
      </c>
      <c r="H65" s="677"/>
      <c r="I65"/>
      <c r="J65" s="136">
        <f>G65-239598405</f>
        <v>-239892199.13</v>
      </c>
      <c r="K65"/>
      <c r="L65"/>
      <c r="M65"/>
      <c r="N65"/>
      <c r="O65"/>
      <c r="P65"/>
      <c r="Q65"/>
      <c r="R65"/>
      <c r="S65"/>
      <c r="T65"/>
      <c r="U65"/>
    </row>
    <row r="66" spans="2:21" s="1" customFormat="1" ht="30" customHeight="1" thickTop="1" thickBot="1" x14ac:dyDescent="0.4">
      <c r="B66"/>
      <c r="C66" s="34" t="s">
        <v>1395</v>
      </c>
      <c r="D66" s="326" t="s">
        <v>985</v>
      </c>
      <c r="E66" s="324"/>
      <c r="F66" s="35">
        <f>IF(ISERROR(E66/$E$65),"",E66/$E$65)</f>
        <v>0</v>
      </c>
      <c r="G66" s="324">
        <f>-Balancete!G208</f>
        <v>0</v>
      </c>
      <c r="H66" s="35"/>
      <c r="I66"/>
      <c r="J66"/>
      <c r="K66"/>
      <c r="L66"/>
      <c r="M66"/>
      <c r="N66"/>
      <c r="O66"/>
      <c r="P66"/>
      <c r="Q66"/>
      <c r="R66"/>
      <c r="S66"/>
      <c r="T66"/>
      <c r="U66"/>
    </row>
    <row r="67" spans="2:21" s="1" customFormat="1" ht="30" customHeight="1" thickTop="1" thickBot="1" x14ac:dyDescent="0.4">
      <c r="B67"/>
      <c r="C67" s="34" t="s">
        <v>1396</v>
      </c>
      <c r="D67" s="326" t="s">
        <v>1397</v>
      </c>
      <c r="E67" s="324">
        <f>-Balancete!F212</f>
        <v>0</v>
      </c>
      <c r="F67" s="35">
        <f t="shared" ref="F67:F73" si="10">IF(ISERROR(E67/$E$65),"",E67/$E$65)</f>
        <v>0</v>
      </c>
      <c r="G67" s="324">
        <f>-Balancete!G212</f>
        <v>0</v>
      </c>
      <c r="H67" s="35"/>
      <c r="I67"/>
      <c r="J67"/>
      <c r="K67"/>
      <c r="L67"/>
      <c r="M67"/>
      <c r="N67"/>
      <c r="O67"/>
      <c r="P67"/>
      <c r="Q67"/>
      <c r="R67"/>
      <c r="S67"/>
      <c r="T67"/>
      <c r="U67"/>
    </row>
    <row r="68" spans="2:21" s="1" customFormat="1" ht="30" customHeight="1" thickTop="1" thickBot="1" x14ac:dyDescent="0.4">
      <c r="B68"/>
      <c r="C68" s="34" t="s">
        <v>1398</v>
      </c>
      <c r="D68" s="326" t="s">
        <v>999</v>
      </c>
      <c r="E68" s="324">
        <f>-Balancete!F221</f>
        <v>0</v>
      </c>
      <c r="F68" s="35">
        <f t="shared" si="10"/>
        <v>0</v>
      </c>
      <c r="G68" s="324">
        <f>-Balancete!G221</f>
        <v>0</v>
      </c>
      <c r="H68" s="35"/>
      <c r="I68"/>
      <c r="J68"/>
      <c r="K68"/>
      <c r="L68"/>
      <c r="M68"/>
      <c r="N68"/>
      <c r="O68"/>
      <c r="P68"/>
      <c r="Q68"/>
      <c r="R68"/>
      <c r="S68"/>
      <c r="T68"/>
      <c r="U68"/>
    </row>
    <row r="69" spans="2:21" s="1" customFormat="1" ht="30" customHeight="1" thickTop="1" thickBot="1" x14ac:dyDescent="0.4">
      <c r="B69"/>
      <c r="C69" s="34" t="s">
        <v>1399</v>
      </c>
      <c r="D69" s="326" t="s">
        <v>1400</v>
      </c>
      <c r="E69" s="324">
        <f>-Balancete!F223</f>
        <v>443261193.25</v>
      </c>
      <c r="F69" s="35">
        <f t="shared" si="10"/>
        <v>1</v>
      </c>
      <c r="G69" s="324">
        <f>-Balancete!G223</f>
        <v>0</v>
      </c>
      <c r="H69" s="35"/>
      <c r="I69"/>
      <c r="J69"/>
      <c r="K69"/>
      <c r="L69"/>
      <c r="M69"/>
      <c r="N69"/>
      <c r="O69"/>
      <c r="P69"/>
      <c r="Q69"/>
      <c r="R69"/>
      <c r="S69"/>
      <c r="T69"/>
      <c r="U69"/>
    </row>
    <row r="70" spans="2:21" s="1" customFormat="1" ht="30" customHeight="1" thickTop="1" thickBot="1" x14ac:dyDescent="0.4">
      <c r="B70"/>
      <c r="C70" s="34" t="s">
        <v>1401</v>
      </c>
      <c r="D70" s="326" t="s">
        <v>981</v>
      </c>
      <c r="E70" s="324">
        <f>Balancete!F203</f>
        <v>0</v>
      </c>
      <c r="F70" s="35">
        <f t="shared" si="10"/>
        <v>0</v>
      </c>
      <c r="G70" s="324">
        <f>Balancete!G203</f>
        <v>0</v>
      </c>
      <c r="H70" s="35"/>
      <c r="I70"/>
      <c r="J70"/>
      <c r="K70"/>
      <c r="L70"/>
      <c r="M70"/>
      <c r="N70"/>
      <c r="O70"/>
      <c r="P70"/>
      <c r="Q70"/>
      <c r="R70"/>
      <c r="S70"/>
      <c r="T70"/>
      <c r="U70"/>
    </row>
    <row r="71" spans="2:21" s="1" customFormat="1" ht="30" customHeight="1" thickTop="1" thickBot="1" x14ac:dyDescent="0.4">
      <c r="B71"/>
      <c r="C71" s="34" t="s">
        <v>1402</v>
      </c>
      <c r="D71" s="326" t="s">
        <v>1403</v>
      </c>
      <c r="E71" s="324"/>
      <c r="F71" s="35">
        <f t="shared" si="10"/>
        <v>0</v>
      </c>
      <c r="G71" s="453">
        <v>-293794.13</v>
      </c>
      <c r="H71" s="35"/>
      <c r="I71"/>
      <c r="J71"/>
      <c r="K71"/>
      <c r="L71"/>
      <c r="M71"/>
      <c r="N71"/>
      <c r="O71"/>
      <c r="P71"/>
      <c r="Q71"/>
      <c r="R71"/>
      <c r="S71"/>
      <c r="T71"/>
      <c r="U71"/>
    </row>
    <row r="72" spans="2:21" s="1" customFormat="1" ht="30" customHeight="1" thickTop="1" thickBot="1" x14ac:dyDescent="0.4">
      <c r="B72"/>
      <c r="C72" s="34" t="s">
        <v>1404</v>
      </c>
      <c r="D72" s="326"/>
      <c r="E72" s="324"/>
      <c r="F72" s="35">
        <f t="shared" si="10"/>
        <v>0</v>
      </c>
      <c r="G72" s="335"/>
      <c r="H72" s="35"/>
      <c r="I72"/>
      <c r="J72"/>
      <c r="K72"/>
      <c r="L72"/>
      <c r="M72"/>
      <c r="N72"/>
      <c r="O72"/>
      <c r="P72"/>
      <c r="Q72"/>
      <c r="R72"/>
      <c r="S72"/>
      <c r="T72"/>
      <c r="U72"/>
    </row>
    <row r="73" spans="2:21" s="1" customFormat="1" ht="30" customHeight="1" thickTop="1" thickBot="1" x14ac:dyDescent="0.4">
      <c r="B73"/>
      <c r="C73" s="34" t="s">
        <v>1405</v>
      </c>
      <c r="D73" s="5"/>
      <c r="E73" s="103"/>
      <c r="F73" s="35">
        <f t="shared" si="10"/>
        <v>0</v>
      </c>
      <c r="G73" s="335"/>
      <c r="H73" s="35"/>
      <c r="I73"/>
      <c r="J73"/>
      <c r="K73"/>
      <c r="L73"/>
      <c r="M73"/>
      <c r="N73"/>
      <c r="O73"/>
      <c r="P73"/>
      <c r="Q73"/>
      <c r="R73"/>
      <c r="S73"/>
      <c r="T73"/>
      <c r="U73"/>
    </row>
    <row r="74" spans="2:21" s="1" customFormat="1" ht="30" customHeight="1" thickTop="1" thickBot="1" x14ac:dyDescent="0.4">
      <c r="B74"/>
      <c r="C74" s="30"/>
      <c r="D74" s="37"/>
      <c r="E74" s="679"/>
      <c r="F74" s="708"/>
      <c r="G74" s="362"/>
      <c r="H74" s="362"/>
      <c r="I74"/>
      <c r="J74"/>
      <c r="K74"/>
      <c r="L74"/>
      <c r="M74"/>
      <c r="N74"/>
      <c r="O74"/>
      <c r="P74"/>
      <c r="Q74"/>
      <c r="R74"/>
      <c r="S74"/>
      <c r="T74"/>
      <c r="U74"/>
    </row>
    <row r="75" spans="2:21" s="1" customFormat="1" ht="30" customHeight="1" thickTop="1" thickBot="1" x14ac:dyDescent="0.4">
      <c r="B75"/>
      <c r="C75" s="34"/>
      <c r="D75" s="5"/>
      <c r="E75" s="4"/>
      <c r="F75" s="35"/>
      <c r="G75" s="282"/>
      <c r="H75" s="282"/>
      <c r="I75"/>
      <c r="J75"/>
      <c r="K75"/>
      <c r="L75"/>
      <c r="M75"/>
      <c r="N75"/>
      <c r="O75"/>
      <c r="P75"/>
      <c r="Q75"/>
      <c r="R75"/>
      <c r="S75"/>
      <c r="T75"/>
      <c r="U75"/>
    </row>
    <row r="76" spans="2:21" s="1" customFormat="1" ht="30" customHeight="1" thickTop="1" thickBot="1" x14ac:dyDescent="0.4">
      <c r="B76"/>
      <c r="C76" s="34"/>
      <c r="D76" s="5"/>
      <c r="E76" s="4"/>
      <c r="F76" s="35"/>
      <c r="G76" s="282"/>
      <c r="H76" s="282"/>
      <c r="I76"/>
      <c r="J76"/>
      <c r="K76"/>
      <c r="L76"/>
      <c r="M76"/>
      <c r="N76"/>
      <c r="O76"/>
      <c r="P76"/>
      <c r="Q76"/>
      <c r="R76"/>
      <c r="S76"/>
      <c r="T76"/>
      <c r="U76"/>
    </row>
    <row r="77" spans="2:21" s="1" customFormat="1" ht="30" customHeight="1" thickTop="1" thickBot="1" x14ac:dyDescent="0.4">
      <c r="B77"/>
      <c r="C77" s="34"/>
      <c r="D77" s="5"/>
      <c r="E77" s="4"/>
      <c r="F77" s="35"/>
      <c r="G77" s="282"/>
      <c r="H77" s="282"/>
      <c r="I77"/>
      <c r="J77"/>
      <c r="K77"/>
      <c r="L77"/>
      <c r="M77"/>
      <c r="N77"/>
      <c r="O77"/>
      <c r="P77"/>
      <c r="Q77"/>
      <c r="R77"/>
      <c r="S77"/>
      <c r="T77"/>
      <c r="U77"/>
    </row>
    <row r="78" spans="2:21" s="1" customFormat="1" ht="30" customHeight="1" thickTop="1" thickBot="1" x14ac:dyDescent="0.4">
      <c r="B78"/>
      <c r="C78" s="34"/>
      <c r="D78" s="5"/>
      <c r="E78" s="4"/>
      <c r="F78" s="35"/>
      <c r="G78" s="282"/>
      <c r="H78" s="282"/>
      <c r="I78"/>
      <c r="J78"/>
      <c r="K78"/>
      <c r="L78"/>
      <c r="M78"/>
      <c r="N78"/>
      <c r="O78"/>
      <c r="P78"/>
      <c r="Q78"/>
      <c r="R78"/>
      <c r="S78"/>
      <c r="T78"/>
      <c r="U78"/>
    </row>
    <row r="79" spans="2:21" s="1" customFormat="1" ht="30" customHeight="1" thickTop="1" thickBot="1" x14ac:dyDescent="0.4">
      <c r="B79"/>
      <c r="C79" s="34"/>
      <c r="D79" s="5"/>
      <c r="E79" s="4"/>
      <c r="F79" s="35"/>
      <c r="G79" s="282"/>
      <c r="H79" s="282"/>
      <c r="I79"/>
      <c r="J79"/>
      <c r="K79"/>
      <c r="L79"/>
      <c r="M79"/>
      <c r="N79"/>
      <c r="O79"/>
      <c r="P79"/>
      <c r="Q79"/>
      <c r="R79"/>
      <c r="S79"/>
      <c r="T79"/>
      <c r="U79"/>
    </row>
    <row r="80" spans="2:21" s="1" customFormat="1" ht="30" customHeight="1" thickTop="1" thickBot="1" x14ac:dyDescent="0.4">
      <c r="B80"/>
      <c r="C80" s="34"/>
      <c r="D80" s="5"/>
      <c r="E80" s="4"/>
      <c r="F80" s="35"/>
      <c r="G80" s="282"/>
      <c r="H80" s="282"/>
      <c r="I80"/>
      <c r="J80"/>
      <c r="K80"/>
      <c r="L80"/>
      <c r="M80"/>
      <c r="N80"/>
      <c r="O80"/>
      <c r="P80"/>
      <c r="Q80"/>
      <c r="R80"/>
      <c r="S80"/>
      <c r="T80"/>
      <c r="U80"/>
    </row>
    <row r="81" spans="2:21" s="1" customFormat="1" ht="30" customHeight="1" thickTop="1" thickBot="1" x14ac:dyDescent="0.4">
      <c r="B81"/>
      <c r="C81" s="34"/>
      <c r="D81" s="5"/>
      <c r="E81" s="4"/>
      <c r="F81" s="35"/>
      <c r="G81" s="282"/>
      <c r="H81" s="282"/>
      <c r="I81"/>
      <c r="J81"/>
      <c r="K81"/>
      <c r="L81"/>
      <c r="M81"/>
      <c r="N81"/>
      <c r="O81"/>
      <c r="P81"/>
      <c r="Q81"/>
      <c r="R81"/>
      <c r="S81"/>
      <c r="T81"/>
      <c r="U81"/>
    </row>
    <row r="82" spans="2:21" s="1" customFormat="1" ht="30" customHeight="1" thickTop="1" thickBot="1" x14ac:dyDescent="0.4">
      <c r="B82"/>
      <c r="C82" s="34"/>
      <c r="D82" s="5"/>
      <c r="E82" s="4"/>
      <c r="F82" s="35"/>
      <c r="G82" s="282"/>
      <c r="H82" s="282"/>
      <c r="I82"/>
      <c r="J82"/>
      <c r="K82"/>
      <c r="L82"/>
      <c r="M82"/>
      <c r="N82"/>
      <c r="O82"/>
      <c r="P82"/>
      <c r="Q82"/>
      <c r="R82"/>
      <c r="S82"/>
      <c r="T82"/>
      <c r="U82"/>
    </row>
    <row r="83" spans="2:21" s="1" customFormat="1" ht="30" customHeight="1" thickTop="1" thickBot="1" x14ac:dyDescent="0.4">
      <c r="B83"/>
      <c r="C83" s="34"/>
      <c r="D83" s="5"/>
      <c r="E83" s="4"/>
      <c r="F83" s="35"/>
      <c r="G83" s="282"/>
      <c r="H83" s="282"/>
      <c r="I83"/>
      <c r="J83"/>
      <c r="K83"/>
      <c r="L83"/>
      <c r="M83"/>
      <c r="N83"/>
      <c r="O83"/>
      <c r="P83"/>
      <c r="Q83"/>
      <c r="R83"/>
      <c r="S83"/>
      <c r="T83"/>
      <c r="U83"/>
    </row>
    <row r="84" spans="2:21" s="1" customFormat="1" ht="30" customHeight="1" thickTop="1" thickBot="1" x14ac:dyDescent="0.4">
      <c r="B84"/>
      <c r="C84" s="30"/>
      <c r="D84" s="37"/>
      <c r="E84" s="679"/>
      <c r="F84" s="708"/>
      <c r="G84" s="362"/>
      <c r="H84" s="362"/>
      <c r="I84"/>
      <c r="J84"/>
      <c r="K84"/>
      <c r="L84"/>
      <c r="M84"/>
      <c r="N84"/>
      <c r="O84"/>
      <c r="P84"/>
      <c r="Q84"/>
      <c r="R84"/>
      <c r="S84"/>
      <c r="T84"/>
      <c r="U84"/>
    </row>
    <row r="85" spans="2:21" s="1" customFormat="1" ht="30" customHeight="1" thickTop="1" thickBot="1" x14ac:dyDescent="0.4">
      <c r="B85"/>
      <c r="C85" s="34"/>
      <c r="D85" s="5"/>
      <c r="E85" s="4"/>
      <c r="F85" s="35"/>
      <c r="G85" s="282"/>
      <c r="H85" s="282"/>
      <c r="I85"/>
      <c r="J85"/>
      <c r="K85"/>
      <c r="L85"/>
      <c r="M85"/>
      <c r="N85"/>
      <c r="O85"/>
      <c r="P85"/>
      <c r="Q85"/>
      <c r="R85"/>
      <c r="S85"/>
      <c r="T85"/>
      <c r="U85"/>
    </row>
    <row r="86" spans="2:21" s="1" customFormat="1" ht="30" customHeight="1" thickTop="1" thickBot="1" x14ac:dyDescent="0.4">
      <c r="B86"/>
      <c r="C86" s="34"/>
      <c r="D86" s="5"/>
      <c r="E86" s="4"/>
      <c r="F86" s="35"/>
      <c r="G86" s="282"/>
      <c r="H86" s="282"/>
      <c r="I86"/>
      <c r="J86"/>
      <c r="K86"/>
      <c r="L86"/>
      <c r="M86"/>
      <c r="N86"/>
      <c r="O86"/>
      <c r="P86"/>
      <c r="Q86"/>
      <c r="R86"/>
      <c r="S86"/>
      <c r="T86"/>
      <c r="U86"/>
    </row>
    <row r="87" spans="2:21" s="1" customFormat="1" ht="30" customHeight="1" thickTop="1" thickBot="1" x14ac:dyDescent="0.4">
      <c r="B87"/>
      <c r="C87" s="34"/>
      <c r="D87" s="5"/>
      <c r="E87" s="4"/>
      <c r="F87" s="35"/>
      <c r="G87" s="282"/>
      <c r="H87" s="282"/>
      <c r="I87"/>
      <c r="J87"/>
      <c r="K87"/>
      <c r="L87"/>
      <c r="M87"/>
      <c r="N87"/>
      <c r="O87"/>
      <c r="P87"/>
      <c r="Q87"/>
      <c r="R87"/>
      <c r="S87"/>
      <c r="T87"/>
      <c r="U87"/>
    </row>
    <row r="88" spans="2:21" s="1" customFormat="1" ht="30" customHeight="1" thickTop="1" thickBot="1" x14ac:dyDescent="0.4">
      <c r="B88"/>
      <c r="C88" s="34"/>
      <c r="D88" s="5"/>
      <c r="E88" s="4"/>
      <c r="F88" s="35"/>
      <c r="G88" s="282"/>
      <c r="H88" s="282"/>
      <c r="I88"/>
      <c r="J88"/>
      <c r="K88"/>
      <c r="L88"/>
      <c r="M88"/>
      <c r="N88"/>
      <c r="O88"/>
      <c r="P88"/>
      <c r="Q88"/>
      <c r="R88"/>
      <c r="S88"/>
      <c r="T88"/>
      <c r="U88"/>
    </row>
    <row r="89" spans="2:21" s="1" customFormat="1" ht="30" customHeight="1" thickTop="1" thickBot="1" x14ac:dyDescent="0.4">
      <c r="B89"/>
      <c r="C89" s="34"/>
      <c r="D89" s="5"/>
      <c r="E89" s="4"/>
      <c r="F89" s="35"/>
      <c r="G89" s="282"/>
      <c r="H89" s="282"/>
      <c r="I89"/>
      <c r="J89"/>
      <c r="K89"/>
      <c r="L89"/>
      <c r="M89"/>
      <c r="N89"/>
      <c r="O89"/>
      <c r="P89"/>
      <c r="Q89"/>
      <c r="R89"/>
      <c r="S89"/>
      <c r="T89"/>
      <c r="U89"/>
    </row>
    <row r="90" spans="2:21" s="1" customFormat="1" ht="30" customHeight="1" thickTop="1" thickBot="1" x14ac:dyDescent="0.4">
      <c r="B90"/>
      <c r="C90" s="34"/>
      <c r="D90" s="5"/>
      <c r="E90" s="4"/>
      <c r="F90" s="35"/>
      <c r="G90" s="282"/>
      <c r="H90" s="282"/>
      <c r="I90"/>
      <c r="J90"/>
      <c r="K90"/>
      <c r="L90"/>
      <c r="M90"/>
      <c r="N90"/>
      <c r="O90"/>
      <c r="P90"/>
      <c r="Q90"/>
      <c r="R90"/>
      <c r="S90"/>
      <c r="T90"/>
      <c r="U90"/>
    </row>
    <row r="91" spans="2:21" s="1" customFormat="1" ht="30" customHeight="1" thickTop="1" thickBot="1" x14ac:dyDescent="0.4">
      <c r="B91"/>
      <c r="C91" s="34"/>
      <c r="D91" s="5"/>
      <c r="E91" s="4"/>
      <c r="F91" s="35"/>
      <c r="G91" s="282"/>
      <c r="H91" s="282"/>
      <c r="I91"/>
      <c r="J91"/>
      <c r="K91"/>
      <c r="L91"/>
      <c r="M91"/>
      <c r="N91"/>
      <c r="O91"/>
      <c r="P91"/>
      <c r="Q91"/>
      <c r="R91"/>
      <c r="S91"/>
      <c r="T91"/>
      <c r="U91"/>
    </row>
    <row r="92" spans="2:21" s="1" customFormat="1" ht="30" customHeight="1" thickTop="1" thickBot="1" x14ac:dyDescent="0.4">
      <c r="B92"/>
      <c r="C92" s="34"/>
      <c r="D92" s="5"/>
      <c r="E92" s="4"/>
      <c r="F92" s="35"/>
      <c r="G92" s="282"/>
      <c r="H92" s="282"/>
      <c r="I92"/>
      <c r="J92"/>
      <c r="K92"/>
      <c r="L92"/>
      <c r="M92"/>
      <c r="N92"/>
      <c r="O92"/>
      <c r="P92"/>
      <c r="Q92"/>
      <c r="R92"/>
      <c r="S92"/>
      <c r="T92"/>
      <c r="U92"/>
    </row>
    <row r="93" spans="2:21" s="1" customFormat="1" ht="30" customHeight="1" thickTop="1" thickBot="1" x14ac:dyDescent="0.4">
      <c r="B93"/>
      <c r="C93" s="34"/>
      <c r="D93" s="5"/>
      <c r="E93" s="4"/>
      <c r="F93" s="35"/>
      <c r="G93" s="282"/>
      <c r="H93" s="282"/>
      <c r="I93"/>
      <c r="J93"/>
      <c r="K93"/>
      <c r="L93"/>
      <c r="M93"/>
      <c r="N93"/>
      <c r="O93"/>
      <c r="P93"/>
      <c r="Q93"/>
      <c r="R93"/>
      <c r="S93"/>
      <c r="T93"/>
      <c r="U93"/>
    </row>
    <row r="94" spans="2:21" s="1" customFormat="1" ht="30" customHeight="1" thickTop="1" x14ac:dyDescent="0.35">
      <c r="B94"/>
      <c r="C94"/>
      <c r="D94"/>
      <c r="E94"/>
      <c r="F94"/>
      <c r="G94"/>
      <c r="H94"/>
      <c r="I94"/>
      <c r="J94"/>
      <c r="K94"/>
      <c r="L94"/>
      <c r="M94"/>
      <c r="N94"/>
      <c r="O94"/>
      <c r="P94"/>
      <c r="Q94"/>
      <c r="R94"/>
      <c r="S94"/>
      <c r="T94"/>
      <c r="U94"/>
    </row>
    <row r="95" spans="2:21" s="1" customFormat="1" ht="30" customHeight="1" x14ac:dyDescent="0.35">
      <c r="B95"/>
      <c r="C95"/>
      <c r="D95"/>
      <c r="E95"/>
      <c r="F95"/>
      <c r="G95"/>
      <c r="H95"/>
      <c r="I95"/>
      <c r="J95"/>
      <c r="K95"/>
      <c r="L95"/>
      <c r="M95"/>
      <c r="N95"/>
      <c r="O95"/>
      <c r="P95"/>
      <c r="Q95"/>
      <c r="R95"/>
      <c r="S95"/>
      <c r="T95"/>
      <c r="U95"/>
    </row>
    <row r="96" spans="2:21" s="1" customFormat="1" ht="30" customHeight="1" x14ac:dyDescent="0.35">
      <c r="B96"/>
      <c r="C96"/>
      <c r="D96"/>
      <c r="E96"/>
      <c r="F96"/>
      <c r="G96"/>
      <c r="H96"/>
      <c r="I96"/>
      <c r="J96"/>
      <c r="K96"/>
      <c r="L96"/>
      <c r="M96"/>
      <c r="N96"/>
      <c r="O96"/>
      <c r="P96"/>
      <c r="Q96"/>
      <c r="R96"/>
      <c r="S96"/>
      <c r="T96"/>
      <c r="U96"/>
    </row>
    <row r="97" spans="2:21" s="1" customFormat="1" ht="30" customHeight="1" x14ac:dyDescent="0.35">
      <c r="B97"/>
      <c r="C97"/>
      <c r="D97"/>
      <c r="E97"/>
      <c r="F97"/>
      <c r="G97"/>
      <c r="H97"/>
      <c r="I97"/>
      <c r="J97"/>
      <c r="K97"/>
      <c r="L97"/>
      <c r="M97"/>
      <c r="N97"/>
      <c r="O97"/>
      <c r="P97"/>
      <c r="Q97"/>
      <c r="R97"/>
      <c r="S97"/>
      <c r="T97"/>
      <c r="U97"/>
    </row>
    <row r="98" spans="2:21" s="1" customFormat="1" ht="34" customHeight="1" x14ac:dyDescent="0.35">
      <c r="B98"/>
      <c r="C98"/>
      <c r="D98"/>
      <c r="E98"/>
      <c r="F98"/>
      <c r="G98"/>
      <c r="H98"/>
      <c r="I98"/>
      <c r="J98"/>
      <c r="K98"/>
      <c r="L98"/>
      <c r="M98"/>
      <c r="N98"/>
      <c r="O98"/>
      <c r="P98"/>
      <c r="Q98"/>
      <c r="R98"/>
      <c r="S98"/>
      <c r="T98"/>
      <c r="U98"/>
    </row>
    <row r="99" spans="2:21" s="1" customFormat="1" ht="34" customHeight="1" x14ac:dyDescent="0.35">
      <c r="B99"/>
      <c r="C99"/>
      <c r="D99"/>
      <c r="E99"/>
      <c r="F99"/>
      <c r="G99"/>
      <c r="H99"/>
      <c r="I99"/>
      <c r="J99"/>
      <c r="K99"/>
      <c r="L99"/>
      <c r="M99"/>
      <c r="N99"/>
      <c r="O99"/>
      <c r="P99"/>
      <c r="Q99"/>
      <c r="R99"/>
      <c r="S99"/>
      <c r="T99"/>
      <c r="U99"/>
    </row>
    <row r="100" spans="2:21" s="1" customFormat="1" ht="34" customHeight="1" x14ac:dyDescent="0.35">
      <c r="B100"/>
      <c r="C100"/>
      <c r="D100"/>
      <c r="E100"/>
      <c r="F100"/>
      <c r="G100"/>
      <c r="H100"/>
      <c r="I100"/>
      <c r="J100"/>
      <c r="K100"/>
      <c r="L100"/>
      <c r="M100"/>
      <c r="N100"/>
      <c r="O100"/>
      <c r="P100"/>
      <c r="Q100"/>
      <c r="R100"/>
      <c r="S100"/>
      <c r="T100"/>
      <c r="U100"/>
    </row>
    <row r="101" spans="2:21" s="1" customFormat="1" ht="34" customHeight="1" x14ac:dyDescent="0.35">
      <c r="B101"/>
      <c r="C101"/>
      <c r="D101"/>
      <c r="E101"/>
      <c r="F101"/>
      <c r="G101"/>
      <c r="H101"/>
      <c r="I101"/>
      <c r="J101"/>
      <c r="K101"/>
      <c r="L101"/>
      <c r="M101"/>
      <c r="N101"/>
      <c r="O101"/>
      <c r="P101"/>
      <c r="Q101"/>
      <c r="R101"/>
      <c r="S101"/>
      <c r="T101"/>
      <c r="U101"/>
    </row>
    <row r="102" spans="2:21" s="1" customFormat="1" ht="34" customHeight="1" x14ac:dyDescent="0.35">
      <c r="B102"/>
      <c r="C102"/>
      <c r="D102"/>
      <c r="E102"/>
      <c r="F102"/>
      <c r="G102"/>
      <c r="H102"/>
      <c r="I102"/>
      <c r="J102"/>
      <c r="K102"/>
      <c r="L102"/>
      <c r="M102"/>
      <c r="N102"/>
      <c r="O102"/>
      <c r="P102"/>
      <c r="Q102"/>
      <c r="R102"/>
      <c r="S102"/>
      <c r="T102"/>
      <c r="U102"/>
    </row>
    <row r="103" spans="2:21" s="1" customFormat="1" ht="34" customHeight="1" x14ac:dyDescent="0.35">
      <c r="B103"/>
      <c r="C103"/>
      <c r="D103"/>
      <c r="E103"/>
      <c r="F103"/>
      <c r="G103"/>
      <c r="H103"/>
      <c r="I103"/>
      <c r="J103"/>
      <c r="K103"/>
      <c r="L103"/>
      <c r="M103"/>
      <c r="N103"/>
      <c r="O103"/>
      <c r="P103"/>
      <c r="Q103"/>
      <c r="R103"/>
      <c r="S103"/>
      <c r="T103"/>
      <c r="U103"/>
    </row>
    <row r="104" spans="2:21" s="1" customFormat="1" ht="34" customHeight="1" x14ac:dyDescent="0.35">
      <c r="B104"/>
      <c r="C104"/>
      <c r="D104"/>
      <c r="E104"/>
      <c r="F104"/>
      <c r="G104"/>
      <c r="H104"/>
      <c r="I104"/>
      <c r="J104"/>
      <c r="K104"/>
      <c r="L104"/>
      <c r="M104"/>
      <c r="N104"/>
      <c r="O104"/>
      <c r="P104"/>
      <c r="Q104"/>
      <c r="R104"/>
      <c r="S104"/>
      <c r="T104"/>
      <c r="U104"/>
    </row>
    <row r="105" spans="2:21" s="1" customFormat="1" ht="34" customHeight="1" x14ac:dyDescent="0.35">
      <c r="B105"/>
      <c r="C105"/>
      <c r="D105"/>
      <c r="E105"/>
      <c r="F105"/>
      <c r="G105"/>
      <c r="H105"/>
      <c r="I105"/>
      <c r="J105"/>
      <c r="K105"/>
      <c r="L105"/>
      <c r="M105"/>
      <c r="N105"/>
      <c r="O105"/>
      <c r="P105"/>
      <c r="Q105"/>
      <c r="R105"/>
      <c r="S105"/>
      <c r="T105"/>
      <c r="U105"/>
    </row>
    <row r="106" spans="2:21" s="1" customFormat="1" ht="34" customHeight="1" x14ac:dyDescent="0.35">
      <c r="B106"/>
      <c r="C106"/>
      <c r="D106"/>
      <c r="E106"/>
      <c r="F106"/>
      <c r="G106"/>
      <c r="H106"/>
      <c r="I106"/>
      <c r="J106"/>
      <c r="K106"/>
      <c r="L106"/>
      <c r="M106"/>
      <c r="N106"/>
      <c r="O106"/>
      <c r="P106"/>
      <c r="Q106"/>
      <c r="R106"/>
      <c r="S106"/>
      <c r="T106"/>
      <c r="U106"/>
    </row>
    <row r="107" spans="2:21" s="1" customFormat="1" ht="34" customHeight="1" x14ac:dyDescent="0.35">
      <c r="B107"/>
      <c r="C107"/>
      <c r="D107"/>
      <c r="E107"/>
      <c r="F107"/>
      <c r="G107"/>
      <c r="H107"/>
      <c r="I107"/>
      <c r="J107"/>
      <c r="K107"/>
      <c r="L107"/>
      <c r="M107"/>
      <c r="N107"/>
      <c r="O107"/>
      <c r="P107"/>
      <c r="Q107"/>
      <c r="R107"/>
      <c r="S107"/>
      <c r="T107"/>
      <c r="U107"/>
    </row>
    <row r="108" spans="2:21" s="1" customFormat="1" ht="34" customHeight="1" x14ac:dyDescent="0.35">
      <c r="B108"/>
      <c r="C108"/>
      <c r="D108"/>
      <c r="E108"/>
      <c r="F108"/>
      <c r="G108"/>
      <c r="H108"/>
      <c r="I108"/>
      <c r="J108"/>
      <c r="K108"/>
      <c r="L108"/>
      <c r="M108"/>
      <c r="N108"/>
      <c r="O108"/>
      <c r="P108"/>
      <c r="Q108"/>
      <c r="R108"/>
      <c r="S108"/>
      <c r="T108"/>
      <c r="U108"/>
    </row>
    <row r="109" spans="2:21" s="1" customFormat="1" ht="34" customHeight="1" x14ac:dyDescent="0.35">
      <c r="B109"/>
      <c r="C109"/>
      <c r="D109"/>
      <c r="E109"/>
      <c r="F109"/>
      <c r="G109"/>
      <c r="H109"/>
      <c r="I109"/>
      <c r="J109"/>
      <c r="K109"/>
      <c r="L109"/>
      <c r="M109"/>
      <c r="N109"/>
      <c r="O109"/>
      <c r="P109"/>
      <c r="Q109"/>
      <c r="R109"/>
      <c r="S109"/>
      <c r="T109"/>
      <c r="U109"/>
    </row>
    <row r="110" spans="2:21" s="1" customFormat="1" ht="34" customHeight="1" x14ac:dyDescent="0.35">
      <c r="B110"/>
      <c r="C110"/>
      <c r="D110"/>
      <c r="E110"/>
      <c r="F110"/>
      <c r="G110"/>
      <c r="H110"/>
      <c r="I110"/>
      <c r="J110"/>
      <c r="K110"/>
      <c r="L110"/>
      <c r="M110"/>
      <c r="N110"/>
      <c r="O110"/>
      <c r="P110"/>
      <c r="Q110"/>
      <c r="R110"/>
      <c r="S110"/>
      <c r="T110"/>
      <c r="U110"/>
    </row>
    <row r="111" spans="2:21" s="1" customFormat="1" ht="34" customHeight="1" x14ac:dyDescent="0.35">
      <c r="B111"/>
      <c r="C111"/>
      <c r="D111"/>
      <c r="E111"/>
      <c r="F111"/>
      <c r="G111"/>
      <c r="H111"/>
      <c r="I111"/>
      <c r="J111"/>
      <c r="K111"/>
      <c r="L111"/>
      <c r="M111"/>
      <c r="N111"/>
      <c r="O111"/>
      <c r="P111"/>
      <c r="Q111"/>
      <c r="R111"/>
      <c r="S111"/>
      <c r="T111"/>
      <c r="U111"/>
    </row>
    <row r="112" spans="2:21" s="1" customFormat="1" ht="34" customHeight="1" x14ac:dyDescent="0.35">
      <c r="B112"/>
      <c r="C112"/>
      <c r="D112"/>
      <c r="E112"/>
      <c r="F112"/>
      <c r="G112"/>
      <c r="H112"/>
      <c r="I112"/>
      <c r="J112"/>
      <c r="K112"/>
      <c r="L112"/>
      <c r="M112"/>
      <c r="N112"/>
      <c r="O112"/>
      <c r="P112"/>
      <c r="Q112"/>
      <c r="R112"/>
      <c r="S112"/>
      <c r="T112"/>
      <c r="U112"/>
    </row>
    <row r="113" spans="2:21" s="1" customFormat="1" ht="34" customHeight="1" x14ac:dyDescent="0.35">
      <c r="B113"/>
      <c r="C113"/>
      <c r="D113"/>
      <c r="E113"/>
      <c r="F113"/>
      <c r="G113"/>
      <c r="H113"/>
      <c r="I113"/>
      <c r="J113"/>
      <c r="K113"/>
      <c r="L113"/>
      <c r="M113"/>
      <c r="N113"/>
      <c r="O113"/>
      <c r="P113"/>
      <c r="Q113"/>
      <c r="R113"/>
      <c r="S113"/>
      <c r="T113"/>
      <c r="U113"/>
    </row>
    <row r="114" spans="2:21" s="1" customFormat="1" ht="34" customHeight="1" x14ac:dyDescent="0.35">
      <c r="B114"/>
      <c r="C114"/>
      <c r="D114"/>
      <c r="E114"/>
      <c r="F114"/>
      <c r="G114"/>
      <c r="H114"/>
      <c r="I114"/>
      <c r="J114"/>
      <c r="K114"/>
      <c r="L114"/>
      <c r="M114"/>
      <c r="N114"/>
      <c r="O114"/>
      <c r="P114"/>
      <c r="Q114"/>
      <c r="R114"/>
      <c r="S114"/>
      <c r="T114"/>
      <c r="U114"/>
    </row>
    <row r="115" spans="2:21" s="1" customFormat="1" ht="34" customHeight="1" x14ac:dyDescent="0.35">
      <c r="B115"/>
      <c r="C115"/>
      <c r="D115"/>
      <c r="E115"/>
      <c r="F115"/>
      <c r="G115"/>
      <c r="H115"/>
      <c r="I115"/>
      <c r="J115"/>
      <c r="K115"/>
      <c r="L115"/>
      <c r="M115"/>
      <c r="N115"/>
      <c r="O115"/>
      <c r="P115"/>
      <c r="Q115"/>
      <c r="R115"/>
      <c r="S115"/>
      <c r="T115"/>
      <c r="U115"/>
    </row>
    <row r="116" spans="2:21" s="1" customFormat="1" ht="34" customHeight="1" x14ac:dyDescent="0.35">
      <c r="B116"/>
      <c r="C116"/>
      <c r="D116"/>
      <c r="E116"/>
      <c r="F116"/>
      <c r="G116"/>
      <c r="H116"/>
      <c r="I116"/>
      <c r="J116"/>
      <c r="K116"/>
      <c r="L116"/>
      <c r="M116"/>
      <c r="N116"/>
      <c r="O116"/>
      <c r="P116"/>
      <c r="Q116"/>
      <c r="R116"/>
      <c r="S116"/>
      <c r="T116"/>
      <c r="U116"/>
    </row>
    <row r="117" spans="2:21" s="1" customFormat="1" ht="34" customHeight="1" x14ac:dyDescent="0.35">
      <c r="B117"/>
      <c r="C117"/>
      <c r="D117"/>
      <c r="E117"/>
      <c r="F117"/>
      <c r="G117"/>
      <c r="H117"/>
      <c r="I117"/>
      <c r="J117"/>
      <c r="K117"/>
      <c r="L117"/>
      <c r="M117"/>
      <c r="N117"/>
      <c r="O117"/>
      <c r="P117"/>
      <c r="Q117"/>
      <c r="R117"/>
      <c r="S117"/>
      <c r="T117"/>
      <c r="U117"/>
    </row>
    <row r="118" spans="2:21" s="1" customFormat="1" ht="34" customHeight="1" x14ac:dyDescent="0.35">
      <c r="B118"/>
      <c r="C118"/>
      <c r="D118"/>
      <c r="E118"/>
      <c r="F118"/>
      <c r="G118"/>
      <c r="H118"/>
      <c r="I118"/>
      <c r="J118"/>
      <c r="K118"/>
      <c r="L118"/>
      <c r="M118"/>
      <c r="N118"/>
      <c r="O118"/>
      <c r="P118"/>
      <c r="Q118"/>
      <c r="R118"/>
      <c r="S118"/>
      <c r="T118"/>
      <c r="U118"/>
    </row>
    <row r="119" spans="2:21" s="1" customFormat="1" ht="34" customHeight="1" x14ac:dyDescent="0.35">
      <c r="B119"/>
      <c r="C119"/>
      <c r="D119"/>
      <c r="E119"/>
      <c r="F119"/>
      <c r="G119"/>
      <c r="H119"/>
      <c r="I119"/>
      <c r="J119"/>
      <c r="K119"/>
      <c r="L119"/>
      <c r="M119"/>
      <c r="N119"/>
      <c r="O119"/>
      <c r="P119"/>
      <c r="Q119"/>
      <c r="R119"/>
      <c r="S119"/>
      <c r="T119"/>
      <c r="U119"/>
    </row>
    <row r="120" spans="2:21" s="1" customFormat="1" ht="34" customHeight="1" x14ac:dyDescent="0.35">
      <c r="B120"/>
      <c r="C120"/>
      <c r="D120"/>
      <c r="E120"/>
      <c r="F120"/>
      <c r="G120"/>
      <c r="H120"/>
      <c r="I120"/>
      <c r="J120"/>
      <c r="K120"/>
      <c r="L120"/>
      <c r="M120"/>
      <c r="N120"/>
      <c r="O120"/>
      <c r="P120"/>
      <c r="Q120"/>
      <c r="R120"/>
      <c r="S120"/>
      <c r="T120"/>
      <c r="U120"/>
    </row>
    <row r="121" spans="2:21" s="1" customFormat="1" ht="34" customHeight="1" x14ac:dyDescent="0.35">
      <c r="B121"/>
      <c r="C121"/>
      <c r="D121"/>
      <c r="E121"/>
      <c r="F121"/>
      <c r="G121"/>
      <c r="H121"/>
      <c r="I121"/>
      <c r="J121"/>
      <c r="K121"/>
      <c r="L121"/>
      <c r="M121"/>
      <c r="N121"/>
      <c r="O121"/>
      <c r="P121"/>
      <c r="Q121"/>
      <c r="R121"/>
      <c r="S121"/>
      <c r="T121"/>
      <c r="U121"/>
    </row>
    <row r="122" spans="2:21" s="1" customFormat="1" ht="34" customHeight="1" x14ac:dyDescent="0.35">
      <c r="B122"/>
      <c r="C122"/>
      <c r="D122"/>
      <c r="E122"/>
      <c r="F122"/>
      <c r="G122"/>
      <c r="H122"/>
      <c r="I122"/>
      <c r="J122"/>
      <c r="K122"/>
      <c r="L122"/>
      <c r="M122"/>
      <c r="N122"/>
      <c r="O122"/>
      <c r="P122"/>
      <c r="Q122"/>
      <c r="R122"/>
      <c r="S122"/>
      <c r="T122"/>
      <c r="U122"/>
    </row>
    <row r="123" spans="2:21" s="1" customFormat="1" ht="34" customHeight="1" x14ac:dyDescent="0.35">
      <c r="B123"/>
      <c r="C123"/>
      <c r="D123"/>
      <c r="E123"/>
      <c r="F123"/>
      <c r="G123"/>
      <c r="H123"/>
      <c r="I123"/>
      <c r="J123"/>
      <c r="K123"/>
      <c r="L123"/>
      <c r="M123"/>
      <c r="N123"/>
      <c r="O123"/>
      <c r="P123"/>
      <c r="Q123"/>
      <c r="R123"/>
      <c r="S123"/>
      <c r="T123"/>
      <c r="U123"/>
    </row>
    <row r="124" spans="2:21" s="1" customFormat="1" ht="34" customHeight="1" x14ac:dyDescent="0.35">
      <c r="B124"/>
      <c r="C124"/>
      <c r="D124"/>
      <c r="E124"/>
      <c r="F124"/>
      <c r="G124"/>
      <c r="H124"/>
      <c r="I124"/>
      <c r="J124"/>
      <c r="K124"/>
      <c r="L124"/>
      <c r="M124"/>
      <c r="N124"/>
      <c r="O124"/>
      <c r="P124"/>
      <c r="Q124"/>
      <c r="R124"/>
      <c r="S124"/>
      <c r="T124"/>
      <c r="U124"/>
    </row>
    <row r="125" spans="2:21" s="1" customFormat="1" ht="34" customHeight="1" x14ac:dyDescent="0.35">
      <c r="B125"/>
      <c r="C125"/>
      <c r="D125"/>
      <c r="E125"/>
      <c r="F125"/>
      <c r="G125"/>
      <c r="H125"/>
      <c r="I125"/>
      <c r="J125"/>
      <c r="K125"/>
      <c r="L125"/>
      <c r="M125"/>
      <c r="N125"/>
      <c r="O125"/>
      <c r="P125"/>
      <c r="Q125"/>
      <c r="R125"/>
      <c r="S125"/>
      <c r="T125"/>
      <c r="U125"/>
    </row>
    <row r="126" spans="2:21" s="1" customFormat="1" ht="34" customHeight="1" x14ac:dyDescent="0.35">
      <c r="B126"/>
      <c r="C126"/>
      <c r="D126"/>
      <c r="E126"/>
      <c r="F126"/>
      <c r="G126"/>
      <c r="H126"/>
      <c r="I126"/>
      <c r="J126"/>
      <c r="K126"/>
      <c r="L126"/>
      <c r="M126"/>
      <c r="N126"/>
      <c r="O126"/>
      <c r="P126"/>
      <c r="Q126"/>
      <c r="R126"/>
      <c r="S126"/>
      <c r="T126"/>
      <c r="U126"/>
    </row>
    <row r="127" spans="2:21" s="1" customFormat="1" ht="34" hidden="1" customHeight="1" x14ac:dyDescent="0.35">
      <c r="B127"/>
      <c r="C127"/>
      <c r="D127"/>
      <c r="E127"/>
      <c r="F127"/>
      <c r="G127"/>
      <c r="H127"/>
      <c r="I127"/>
      <c r="J127"/>
      <c r="K127"/>
      <c r="L127"/>
      <c r="M127"/>
      <c r="N127"/>
      <c r="O127"/>
      <c r="P127"/>
      <c r="Q127"/>
      <c r="R127"/>
      <c r="S127"/>
      <c r="T127"/>
      <c r="U127"/>
    </row>
    <row r="128" spans="2:21" ht="15" customHeight="1" x14ac:dyDescent="0.35"/>
    <row r="129" ht="15" customHeight="1" x14ac:dyDescent="0.35"/>
  </sheetData>
  <mergeCells count="31">
    <mergeCell ref="E74:F74"/>
    <mergeCell ref="E84:F84"/>
    <mergeCell ref="E25:F25"/>
    <mergeCell ref="E35:F35"/>
    <mergeCell ref="E45:F45"/>
    <mergeCell ref="E55:F55"/>
    <mergeCell ref="E65:F65"/>
    <mergeCell ref="N22:O22"/>
    <mergeCell ref="N24:O24"/>
    <mergeCell ref="N25:O25"/>
    <mergeCell ref="N4:O4"/>
    <mergeCell ref="L3:M3"/>
    <mergeCell ref="N3:O3"/>
    <mergeCell ref="K4:M4"/>
    <mergeCell ref="L25:M25"/>
    <mergeCell ref="J22:K22"/>
    <mergeCell ref="L22:M22"/>
    <mergeCell ref="J24:M24"/>
    <mergeCell ref="J25:K25"/>
    <mergeCell ref="J15:M15"/>
    <mergeCell ref="E3:F3"/>
    <mergeCell ref="G3:H3"/>
    <mergeCell ref="G55:H55"/>
    <mergeCell ref="G65:H65"/>
    <mergeCell ref="G15:H15"/>
    <mergeCell ref="G25:H25"/>
    <mergeCell ref="E4:F4"/>
    <mergeCell ref="E5:F5"/>
    <mergeCell ref="E15:F15"/>
    <mergeCell ref="G4:H4"/>
    <mergeCell ref="G5:H5"/>
  </mergeCells>
  <phoneticPr fontId="24" type="noConversion"/>
  <pageMargins left="0.511811024" right="0.511811024" top="0.78740157499999996" bottom="0.78740157499999996" header="0.31496062000000002" footer="0.3149606200000000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6"/>
  <dimension ref="A1:V160"/>
  <sheetViews>
    <sheetView showGridLines="0" zoomScaleNormal="100" workbookViewId="0">
      <pane ySplit="3" topLeftCell="A4" activePane="bottomLeft" state="frozen"/>
      <selection pane="bottomLeft" activeCell="E38" sqref="E38:F38"/>
    </sheetView>
  </sheetViews>
  <sheetFormatPr defaultColWidth="0" defaultRowHeight="0" customHeight="1" zeroHeight="1" x14ac:dyDescent="0.35"/>
  <cols>
    <col min="1" max="2" width="1.6328125" customWidth="1"/>
    <col min="3" max="3" width="14.90625" customWidth="1"/>
    <col min="4" max="4" width="75.90625" customWidth="1"/>
    <col min="5" max="5" width="28.08984375" bestFit="1" customWidth="1"/>
    <col min="6" max="6" width="13.81640625" customWidth="1"/>
    <col min="7" max="7" width="25.54296875" customWidth="1"/>
    <col min="8" max="8" width="13.81640625" customWidth="1"/>
    <col min="9" max="9" width="7.81640625" customWidth="1"/>
    <col min="10" max="10" width="14.90625" customWidth="1"/>
    <col min="11" max="11" width="75.90625" customWidth="1"/>
    <col min="12" max="12" width="29.7265625" bestFit="1" customWidth="1"/>
    <col min="13" max="13" width="18.7265625" customWidth="1"/>
    <col min="14" max="14" width="24.453125" customWidth="1"/>
    <col min="15" max="15" width="16.54296875" customWidth="1"/>
    <col min="16" max="21" width="20.7265625" customWidth="1"/>
    <col min="22" max="22" width="0" hidden="1" customWidth="1"/>
    <col min="23" max="16384" width="9.1796875" hidden="1"/>
  </cols>
  <sheetData>
    <row r="1" spans="2:16" s="10" customFormat="1" ht="26.5" customHeight="1" x14ac:dyDescent="0.55000000000000004">
      <c r="B1" s="57"/>
      <c r="C1" s="57"/>
    </row>
    <row r="2" spans="2:16" s="10" customFormat="1" ht="21.65" customHeight="1" x14ac:dyDescent="0.35">
      <c r="B2" s="537" t="s">
        <v>1406</v>
      </c>
    </row>
    <row r="3" spans="2:16" ht="15" customHeight="1" thickBot="1" x14ac:dyDescent="0.4"/>
    <row r="4" spans="2:16" ht="30" customHeight="1" thickTop="1" thickBot="1" x14ac:dyDescent="0.4">
      <c r="C4" s="54" t="str">
        <f>'Activos Não Correntes'!C4</f>
        <v>1.1</v>
      </c>
      <c r="D4" s="153" t="s">
        <v>1407</v>
      </c>
      <c r="E4" s="672" t="s">
        <v>1243</v>
      </c>
      <c r="F4" s="673"/>
      <c r="G4" s="725" t="s">
        <v>1244</v>
      </c>
      <c r="H4" s="725"/>
      <c r="I4" s="147"/>
      <c r="J4" s="54" t="str">
        <f>'Passivo Não Corrente'!J4</f>
        <v>2.2</v>
      </c>
      <c r="K4" s="154" t="s">
        <v>1305</v>
      </c>
      <c r="L4" s="672" t="s">
        <v>1243</v>
      </c>
      <c r="M4" s="673"/>
      <c r="N4" s="769" t="s">
        <v>1244</v>
      </c>
      <c r="O4" s="770"/>
    </row>
    <row r="5" spans="2:16" ht="30" customHeight="1" thickTop="1" thickBot="1" x14ac:dyDescent="0.4">
      <c r="C5" s="30" t="str">
        <f>'Activos Não Correntes'!C5</f>
        <v>1.1.1</v>
      </c>
      <c r="D5" s="121" t="str">
        <f>'Activos Não Correntes'!D5</f>
        <v>Imobilizações corpóreas</v>
      </c>
      <c r="E5" s="99">
        <f>IF(ISERROR('Activos Não Correntes'!L5),"",'Activos Não Correntes'!L5)</f>
        <v>3423873567.8199997</v>
      </c>
      <c r="F5" s="91">
        <f>IF(ISERROR('Activos Não Correntes'!M5),"",'Activos Não Correntes'!M5)</f>
        <v>0.99388180191777187</v>
      </c>
      <c r="G5" s="446">
        <f>IF(ISERROR('Activos Não Correntes'!N5),"",'Activos Não Correntes'!N5)</f>
        <v>0</v>
      </c>
      <c r="H5" s="248"/>
      <c r="J5" s="89" t="str">
        <f>'Passivo Não Corrente'!J5</f>
        <v>2.2.1</v>
      </c>
      <c r="K5" s="434" t="str">
        <f>'Passivo Não Corrente'!K5</f>
        <v>Empréstimos de médio e longo prazos</v>
      </c>
      <c r="L5" s="99">
        <f>IF(ISERROR('Passivo Não Corrente'!L5),"",'Passivo Não Corrente'!L5)</f>
        <v>0</v>
      </c>
      <c r="M5" s="91" t="str">
        <f>IF(ISERROR('Passivo Não Corrente'!M5),"",'Passivo Não Corrente'!M5)</f>
        <v/>
      </c>
      <c r="N5" s="446">
        <f>IF(ISERROR('Passivo Não Corrente'!N5),"",'Passivo Não Corrente'!N5)</f>
        <v>0</v>
      </c>
      <c r="O5" s="260"/>
    </row>
    <row r="6" spans="2:16" ht="30" customHeight="1" thickTop="1" thickBot="1" x14ac:dyDescent="0.4">
      <c r="C6" s="30" t="str">
        <f>'Activos Não Correntes'!C16</f>
        <v>1.1.2</v>
      </c>
      <c r="D6" s="121" t="str">
        <f>'Activos Não Correntes'!D16</f>
        <v>Imobilizações incorpóreas</v>
      </c>
      <c r="E6" s="99">
        <f>IF(ISERROR('Activos Não Correntes'!L6),"",'Activos Não Correntes'!L6)</f>
        <v>21076889.280000031</v>
      </c>
      <c r="F6" s="91">
        <f>IF(ISERROR('Activos Não Correntes'!M6),"",'Activos Não Correntes'!M6)</f>
        <v>6.1181980822280985E-3</v>
      </c>
      <c r="G6" s="446">
        <f>IF(ISERROR('Activos Não Correntes'!N6),"",'Activos Não Correntes'!N6)</f>
        <v>0</v>
      </c>
      <c r="H6" s="250"/>
      <c r="J6" s="89" t="str">
        <f>'Passivo Não Corrente'!J6</f>
        <v>2.2.2</v>
      </c>
      <c r="K6" s="434" t="str">
        <f>'Passivo Não Corrente'!K6</f>
        <v>Impostos diferidos</v>
      </c>
      <c r="L6" s="99">
        <f>IF(ISERROR('Passivo Não Corrente'!L6),"",'Passivo Não Corrente'!L6)</f>
        <v>0</v>
      </c>
      <c r="M6" s="91" t="str">
        <f>IF(ISERROR('Passivo Não Corrente'!M6),"",'Passivo Não Corrente'!M6)</f>
        <v/>
      </c>
      <c r="N6" s="446">
        <f>IF(ISERROR('Passivo Não Corrente'!N6),"",'Passivo Não Corrente'!N6)</f>
        <v>0</v>
      </c>
      <c r="O6" s="258"/>
    </row>
    <row r="7" spans="2:16" ht="30" customHeight="1" thickTop="1" thickBot="1" x14ac:dyDescent="0.4">
      <c r="C7" s="30" t="str">
        <f>'Activos Não Correntes'!C26</f>
        <v>1.1.3</v>
      </c>
      <c r="D7" s="121" t="str">
        <f>'Activos Não Correntes'!D26</f>
        <v>Investimentos em Subsidiárias e Associadas</v>
      </c>
      <c r="E7" s="99">
        <f>IF(ISERROR('Activos Não Correntes'!L7),"",'Activos Não Correntes'!L7)</f>
        <v>0</v>
      </c>
      <c r="F7" s="91">
        <f>IF(ISERROR('Activos Não Correntes'!M7),"",'Activos Não Correntes'!M7)</f>
        <v>0</v>
      </c>
      <c r="G7" s="446">
        <f>IF(ISERROR('Activos Não Correntes'!N7),"",'Activos Não Correntes'!N7)</f>
        <v>0</v>
      </c>
      <c r="H7" s="250"/>
      <c r="J7" s="89" t="str">
        <f>'Passivo Não Corrente'!J7</f>
        <v>2.2.3</v>
      </c>
      <c r="K7" s="434" t="str">
        <f>'Passivo Não Corrente'!K7</f>
        <v>Provisões para pensões</v>
      </c>
      <c r="L7" s="99">
        <f>IF(ISERROR('Passivo Não Corrente'!L7),"",'Passivo Não Corrente'!L7)</f>
        <v>0</v>
      </c>
      <c r="M7" s="91" t="str">
        <f>IF(ISERROR('Passivo Não Corrente'!M7),"",'Passivo Não Corrente'!M7)</f>
        <v/>
      </c>
      <c r="N7" s="446">
        <f>IF(ISERROR('Passivo Não Corrente'!N7),"",'Passivo Não Corrente'!N7)</f>
        <v>0</v>
      </c>
      <c r="O7" s="258"/>
    </row>
    <row r="8" spans="2:16" ht="30" customHeight="1" thickTop="1" thickBot="1" x14ac:dyDescent="0.4">
      <c r="C8" s="30" t="str">
        <f>'Activos Não Correntes'!C30</f>
        <v>1.1.4</v>
      </c>
      <c r="D8" s="121" t="str">
        <f>'Activos Não Correntes'!D30</f>
        <v>Outros Activos Financeiros</v>
      </c>
      <c r="E8" s="99">
        <f>IF(ISERROR('Activos Não Correntes'!L8),"",'Activos Não Correntes'!L8)</f>
        <v>0</v>
      </c>
      <c r="F8" s="91">
        <f>IF(ISERROR('Activos Não Correntes'!M8),"",'Activos Não Correntes'!M8)</f>
        <v>0</v>
      </c>
      <c r="G8" s="446">
        <f>IF(ISERROR('Activos Não Correntes'!N8),"",'Activos Não Correntes'!N8)</f>
        <v>0</v>
      </c>
      <c r="H8" s="250"/>
      <c r="J8" s="89" t="str">
        <f>'Passivo Não Corrente'!J8</f>
        <v>2.2.4</v>
      </c>
      <c r="K8" s="434" t="str">
        <f>'Passivo Não Corrente'!K8</f>
        <v>Provisões para outros riscos e encagos</v>
      </c>
      <c r="L8" s="99">
        <f>IF(ISERROR('Passivo Não Corrente'!L8),"",'Passivo Não Corrente'!L8)</f>
        <v>0</v>
      </c>
      <c r="M8" s="91" t="str">
        <f>IF(ISERROR('Passivo Não Corrente'!M8),"",'Passivo Não Corrente'!M8)</f>
        <v/>
      </c>
      <c r="N8" s="446">
        <f>IF(ISERROR('Passivo Não Corrente'!N8),"",'Passivo Não Corrente'!N8)</f>
        <v>0</v>
      </c>
      <c r="O8" s="258"/>
    </row>
    <row r="9" spans="2:16" ht="30" customHeight="1" thickTop="1" thickBot="1" x14ac:dyDescent="0.4">
      <c r="C9" s="30" t="str">
        <f>'Activos Não Correntes'!C38</f>
        <v>1.1.5</v>
      </c>
      <c r="D9" s="121" t="str">
        <f>'Activos Não Correntes'!D38</f>
        <v>Provisões para Investimentos Financeiros</v>
      </c>
      <c r="E9" s="99">
        <f>IF(ISERROR('Activos Não Correntes'!L9),"",'Activos Não Correntes'!L9)</f>
        <v>0</v>
      </c>
      <c r="F9" s="91">
        <f>IF(ISERROR('Activos Não Correntes'!M9),"",'Activos Não Correntes'!M9)</f>
        <v>0</v>
      </c>
      <c r="G9" s="446">
        <f>IF(ISERROR('Activos Não Correntes'!N9),"",'Activos Não Correntes'!N9)</f>
        <v>0</v>
      </c>
      <c r="H9" s="251"/>
      <c r="J9" s="89" t="str">
        <f>'Passivo Não Corrente'!J9</f>
        <v>2.2.5</v>
      </c>
      <c r="K9" s="434" t="str">
        <f>'Passivo Não Corrente'!K9</f>
        <v>Outros passivos não correntes</v>
      </c>
      <c r="L9" s="99">
        <f>IF(ISERROR('Passivo Não Corrente'!L9),"",'Passivo Não Corrente'!L9)</f>
        <v>0</v>
      </c>
      <c r="M9" s="91" t="str">
        <f>IF(ISERROR('Passivo Não Corrente'!M9),"",'Passivo Não Corrente'!M9)</f>
        <v/>
      </c>
      <c r="N9" s="446">
        <f>IF(ISERROR('Passivo Não Corrente'!N9),"",'Passivo Não Corrente'!N9)</f>
        <v>0</v>
      </c>
      <c r="O9" s="258"/>
    </row>
    <row r="10" spans="2:16" ht="30" customHeight="1" thickTop="1" thickBot="1" x14ac:dyDescent="0.4">
      <c r="C10" s="30" t="str">
        <f>'Activos Não Correntes'!C45</f>
        <v>1.1.6</v>
      </c>
      <c r="D10" s="121" t="str">
        <f>'Activos Não Correntes'!D45</f>
        <v>Outros Activos não Correntes</v>
      </c>
      <c r="E10" s="236">
        <f>IF(ISERROR('Activos Não Correntes'!L20),"",'Activos Não Correntes'!L20)</f>
        <v>0</v>
      </c>
      <c r="F10" s="235" t="str">
        <f>IF(ISERROR('Activos Não Correntes'!#REF!),"",'Activos Não Correntes'!#REF!)</f>
        <v/>
      </c>
      <c r="G10" s="447">
        <f>IF(ISERROR('Activos Não Correntes'!N20),"",'Activos Não Correntes'!N20)</f>
        <v>0</v>
      </c>
      <c r="H10" s="253"/>
      <c r="I10" s="237"/>
      <c r="J10" s="89">
        <v>0</v>
      </c>
      <c r="K10" s="121">
        <v>0</v>
      </c>
      <c r="L10" s="99">
        <f>IF(ISERROR('Passivo Não Corrente'!L10),"",'Passivo Não Corrente'!L10)</f>
        <v>0</v>
      </c>
      <c r="M10" s="235" t="str">
        <f>IF(ISERROR('Passivo Não Corrente'!M10),"",'Passivo Não Corrente'!M10)</f>
        <v/>
      </c>
      <c r="N10" s="446">
        <f>IF(ISERROR('Passivo Não Corrente'!N10),"",'Passivo Não Corrente'!N10)</f>
        <v>0</v>
      </c>
      <c r="O10" s="258"/>
    </row>
    <row r="11" spans="2:16" ht="30" customHeight="1" thickTop="1" thickBot="1" x14ac:dyDescent="0.4">
      <c r="C11" s="30">
        <f>'Activos Não Correntes'!C55</f>
        <v>0</v>
      </c>
      <c r="D11" s="32">
        <f>'Activos Não Correntes'!D55</f>
        <v>0</v>
      </c>
      <c r="E11" s="99">
        <f>IF(ISERROR('Activos Não Correntes'!L11),"",'Activos Não Correntes'!L11)</f>
        <v>0</v>
      </c>
      <c r="F11" s="91">
        <f>IF(ISERROR('Activos Não Correntes'!M11),"",'Activos Não Correntes'!M11)</f>
        <v>0</v>
      </c>
      <c r="G11" s="446">
        <f>IF(ISERROR('Activos Não Correntes'!N11),"",'Activos Não Correntes'!N11)</f>
        <v>0</v>
      </c>
      <c r="H11" s="250"/>
      <c r="J11" s="89">
        <v>0</v>
      </c>
      <c r="K11" s="121">
        <v>0</v>
      </c>
      <c r="L11" s="99" t="str">
        <f>IF(ISERROR('Passivo Não Corrente'!#REF!),"",'Passivo Não Corrente'!#REF!)</f>
        <v/>
      </c>
      <c r="M11" s="91" t="str">
        <f>IF(ISERROR('Passivo Não Corrente'!#REF!),"",'Passivo Não Corrente'!#REF!)</f>
        <v/>
      </c>
      <c r="N11" s="446" t="str">
        <f>IF(ISERROR('Passivo Não Corrente'!#REF!),"",'Passivo Não Corrente'!#REF!)</f>
        <v/>
      </c>
      <c r="O11" s="257"/>
    </row>
    <row r="12" spans="2:16" ht="30" customHeight="1" thickTop="1" thickBot="1" x14ac:dyDescent="0.4">
      <c r="C12" s="30">
        <f>'Activos Correntes'!J12</f>
        <v>0</v>
      </c>
      <c r="D12" s="32">
        <f>'Activos Correntes'!K12</f>
        <v>0</v>
      </c>
      <c r="E12" s="99">
        <f>IF(ISERROR('Activos Não Correntes'!L12),"",'Activos Não Correntes'!L12)</f>
        <v>0</v>
      </c>
      <c r="F12" s="91">
        <f>IF(ISERROR('Activos Não Correntes'!M12),"",'Activos Não Correntes'!M12)</f>
        <v>0</v>
      </c>
      <c r="G12" s="446">
        <f>IF(ISERROR('Activos Não Correntes'!N12),"",'Activos Não Correntes'!N12)</f>
        <v>0</v>
      </c>
      <c r="H12" s="250"/>
      <c r="J12" s="89">
        <f>'Passivo Corrente'!J12</f>
        <v>0</v>
      </c>
      <c r="K12" s="121">
        <f>'Passivo Corrente'!K12</f>
        <v>0</v>
      </c>
      <c r="L12" s="99" t="str">
        <f>IF(ISERROR('Passivo Não Corrente'!#REF!),"",'Passivo Não Corrente'!#REF!)</f>
        <v/>
      </c>
      <c r="M12" s="91" t="str">
        <f>IF(ISERROR('Passivo Não Corrente'!#REF!),"",'Passivo Não Corrente'!#REF!)</f>
        <v/>
      </c>
      <c r="N12" s="446" t="str">
        <f>IF(ISERROR('Passivo Não Corrente'!#REF!),"",'Passivo Não Corrente'!#REF!)</f>
        <v/>
      </c>
      <c r="O12" s="258"/>
    </row>
    <row r="13" spans="2:16" ht="30" customHeight="1" thickTop="1" thickBot="1" x14ac:dyDescent="0.4">
      <c r="C13" s="30">
        <f>'Activos Correntes'!J13</f>
        <v>0</v>
      </c>
      <c r="D13" s="32">
        <f>'Activos Correntes'!K13</f>
        <v>0</v>
      </c>
      <c r="E13" s="99">
        <f>IF(ISERROR('Activos Não Correntes'!L13),"",'Activos Não Correntes'!L13)</f>
        <v>0</v>
      </c>
      <c r="F13" s="91">
        <f>IF(ISERROR('Activos Não Correntes'!M13),"",'Activos Não Correntes'!M13)</f>
        <v>0</v>
      </c>
      <c r="G13" s="446">
        <f>IF(ISERROR('Activos Não Correntes'!N13),"",'Activos Não Correntes'!N13)</f>
        <v>0</v>
      </c>
      <c r="H13" s="250"/>
      <c r="J13" s="89">
        <f>'Passivo Corrente'!J13</f>
        <v>0</v>
      </c>
      <c r="K13" s="121">
        <f>'Passivo Corrente'!K13</f>
        <v>0</v>
      </c>
      <c r="L13" s="99" t="str">
        <f>IF(ISERROR('Passivo Não Corrente'!#REF!),"",'Passivo Não Corrente'!#REF!)</f>
        <v/>
      </c>
      <c r="M13" s="91" t="str">
        <f>IF(ISERROR('Passivo Não Corrente'!#REF!),"",'Passivo Não Corrente'!#REF!)</f>
        <v/>
      </c>
      <c r="N13" s="446" t="str">
        <f>IF(ISERROR('Passivo Não Corrente'!#REF!),"",'Passivo Não Corrente'!#REF!)</f>
        <v/>
      </c>
      <c r="O13" s="258"/>
    </row>
    <row r="14" spans="2:16" ht="30" customHeight="1" thickTop="1" thickBot="1" x14ac:dyDescent="0.4">
      <c r="C14" s="688" t="s">
        <v>1253</v>
      </c>
      <c r="D14" s="688"/>
      <c r="E14" s="703">
        <f>IF(ISERROR(SUM(E5:E13)),"",SUM(E5:E13))</f>
        <v>3444950457.0999999</v>
      </c>
      <c r="F14" s="703"/>
      <c r="G14" s="709">
        <f>IF(ISERROR(SUM(G5:G13)),"",SUM(G5:G13))</f>
        <v>0</v>
      </c>
      <c r="H14" s="709"/>
      <c r="J14" s="741" t="s">
        <v>1253</v>
      </c>
      <c r="K14" s="741"/>
      <c r="L14" s="703">
        <f>IF(ISERROR(SUM(L5:L13)),"",SUM(L5:L13))</f>
        <v>0</v>
      </c>
      <c r="M14" s="703"/>
      <c r="N14" s="709">
        <f>IF(ISERROR(SUM(N5:N13)),"",SUM(N5:N13))</f>
        <v>0</v>
      </c>
      <c r="O14" s="709"/>
    </row>
    <row r="15" spans="2:16" ht="30" customHeight="1" thickTop="1" thickBot="1" x14ac:dyDescent="0.4">
      <c r="C15" s="713" t="s">
        <v>1408</v>
      </c>
      <c r="D15" s="744"/>
      <c r="E15" s="755">
        <v>3444950457.0999999</v>
      </c>
      <c r="F15" s="735"/>
      <c r="G15" s="719">
        <v>186969760.09</v>
      </c>
      <c r="H15" s="720"/>
      <c r="J15" s="732" t="s">
        <v>1408</v>
      </c>
      <c r="K15" s="732"/>
      <c r="L15" s="777">
        <v>0</v>
      </c>
      <c r="M15" s="778"/>
      <c r="N15" s="771">
        <v>52083464.829999998</v>
      </c>
      <c r="O15" s="772"/>
    </row>
    <row r="16" spans="2:16" ht="30" customHeight="1" thickTop="1" thickBot="1" x14ac:dyDescent="0.4">
      <c r="C16" s="713" t="s">
        <v>1409</v>
      </c>
      <c r="D16" s="744"/>
      <c r="E16" s="745">
        <f>E14-E15</f>
        <v>0</v>
      </c>
      <c r="F16" s="746"/>
      <c r="G16" s="745">
        <f>G14-G15</f>
        <v>-186969760.09</v>
      </c>
      <c r="H16" s="746"/>
      <c r="J16" s="733" t="s">
        <v>1409</v>
      </c>
      <c r="K16" s="732"/>
      <c r="L16" s="775">
        <f>L14-L15</f>
        <v>0</v>
      </c>
      <c r="M16" s="776"/>
      <c r="N16" s="773">
        <f>N14-N15</f>
        <v>-52083464.829999998</v>
      </c>
      <c r="O16" s="774"/>
      <c r="P16" s="242"/>
    </row>
    <row r="17" spans="3:15" ht="30" customHeight="1" thickTop="1" thickBot="1" x14ac:dyDescent="0.4">
      <c r="E17" s="65"/>
      <c r="G17" s="243"/>
      <c r="H17" s="244"/>
    </row>
    <row r="18" spans="3:15" ht="30" customHeight="1" thickTop="1" thickBot="1" x14ac:dyDescent="0.5">
      <c r="C18" s="92" t="str">
        <f>'Activos Correntes'!C4</f>
        <v>1.2</v>
      </c>
      <c r="D18" s="671" t="s">
        <v>1410</v>
      </c>
      <c r="E18" s="672"/>
      <c r="F18" s="672"/>
      <c r="G18" s="245"/>
      <c r="H18" s="246"/>
      <c r="I18" s="93"/>
      <c r="J18" s="92" t="str">
        <f>'Passivo Corrente'!J4</f>
        <v>2.3</v>
      </c>
      <c r="K18" s="153" t="s">
        <v>1411</v>
      </c>
      <c r="L18" s="672" t="s">
        <v>1243</v>
      </c>
      <c r="M18" s="673"/>
      <c r="N18" s="769" t="s">
        <v>1244</v>
      </c>
      <c r="O18" s="770"/>
    </row>
    <row r="19" spans="3:15" ht="30" customHeight="1" thickTop="1" thickBot="1" x14ac:dyDescent="0.4">
      <c r="C19" s="30" t="str">
        <f>'Activos Correntes'!C5</f>
        <v>1.2.1</v>
      </c>
      <c r="D19" s="121" t="str">
        <f>'Activos Correntes'!D5</f>
        <v>Existências</v>
      </c>
      <c r="E19" s="99">
        <f>IF(ISERROR('Activos Correntes'!L5),"",'Activos Correntes'!L5)</f>
        <v>0</v>
      </c>
      <c r="F19" s="234">
        <f>IF(ISERROR('Activos Correntes'!M5),"",'Activos Correntes'!M5)</f>
        <v>0</v>
      </c>
      <c r="G19" s="446">
        <f>IF(ISERROR('Activos Correntes'!N5),"",'Activos Correntes'!N5)</f>
        <v>0</v>
      </c>
      <c r="H19" s="254"/>
      <c r="J19" s="89" t="str">
        <f>'Passivo Corrente'!J5</f>
        <v>2.3.1</v>
      </c>
      <c r="K19" s="434" t="str">
        <f>'Passivo Corrente'!K5</f>
        <v>Contas a pagar</v>
      </c>
      <c r="L19" s="99">
        <f>IF(ISERROR('Passivo Corrente'!L5),"",'Passivo Corrente'!L5)</f>
        <v>1006980995.0899999</v>
      </c>
      <c r="M19" s="91" t="str">
        <f>IF(ISERROR('Passivo Não Corrente'!M5),"",'Passivo Não Corrente'!M5)</f>
        <v/>
      </c>
      <c r="N19" s="446">
        <f>IF(ISERROR('Passivo Corrente'!N5),"",'Passivo Corrente'!N5)</f>
        <v>-2553147.19</v>
      </c>
      <c r="O19" s="259"/>
    </row>
    <row r="20" spans="3:15" ht="30" customHeight="1" thickTop="1" thickBot="1" x14ac:dyDescent="0.4">
      <c r="C20" s="30" t="str">
        <f>'Activos Correntes'!C15</f>
        <v>1.2.2</v>
      </c>
      <c r="D20" s="121" t="str">
        <f>'Activos Correntes'!D15</f>
        <v>Contas a Receber</v>
      </c>
      <c r="E20" s="99">
        <f>IF(ISERROR('Activos Correntes'!L6),"",'Activos Correntes'!L6)</f>
        <v>1340212444.23</v>
      </c>
      <c r="F20" s="91">
        <f>IF(ISERROR('Activos Correntes'!M6),"",'Activos Correntes'!M6)</f>
        <v>0.85631482344251542</v>
      </c>
      <c r="G20" s="446">
        <f>IF(ISERROR('Activos Correntes'!N6),"",'Activos Correntes'!N6)</f>
        <v>0</v>
      </c>
      <c r="H20" s="251"/>
      <c r="J20" s="89" t="str">
        <f>'Passivo Corrente'!J6</f>
        <v>2.3.2</v>
      </c>
      <c r="K20" s="434" t="str">
        <f>'Passivo Corrente'!K6</f>
        <v>Participantes e Participadas</v>
      </c>
      <c r="L20" s="99">
        <f>IF(ISERROR('Passivo Corrente'!L6),"",'Passivo Corrente'!L6)</f>
        <v>0</v>
      </c>
      <c r="M20" s="91" t="str">
        <f>IF(ISERROR('Passivo Não Corrente'!M6),"",'Passivo Não Corrente'!M6)</f>
        <v/>
      </c>
      <c r="N20" s="446">
        <f>IF(ISERROR('Passivo Corrente'!N6),"",'Passivo Corrente'!N6)</f>
        <v>0</v>
      </c>
      <c r="O20" s="262"/>
    </row>
    <row r="21" spans="3:15" ht="30" customHeight="1" thickTop="1" thickBot="1" x14ac:dyDescent="0.4">
      <c r="C21" s="30" t="str">
        <f>'Activos Correntes'!C27</f>
        <v>1.2.3</v>
      </c>
      <c r="D21" s="121" t="str">
        <f>'Activos Correntes'!D27</f>
        <v>Disponibilidades</v>
      </c>
      <c r="E21" s="99">
        <f>IF(ISERROR('Activos Correntes'!L7),"",'Activos Correntes'!L7)</f>
        <v>52657492.650000155</v>
      </c>
      <c r="F21" s="91">
        <f>IF(ISERROR('Activos Correntes'!M7),"",'Activos Correntes'!M7)</f>
        <v>3.3644958092757492E-2</v>
      </c>
      <c r="G21" s="446">
        <f>IF(ISERROR('Activos Correntes'!N7),"",'Activos Correntes'!N7)</f>
        <v>0</v>
      </c>
      <c r="H21" s="256"/>
      <c r="J21" s="89" t="str">
        <f>'Passivo Corrente'!J7</f>
        <v>2.3.3</v>
      </c>
      <c r="K21" s="434" t="str">
        <f>'Passivo Corrente'!K7</f>
        <v>Pessoal</v>
      </c>
      <c r="L21" s="99">
        <f>IF(ISERROR('Passivo Corrente'!L7),"",'Passivo Corrente'!L7)</f>
        <v>0</v>
      </c>
      <c r="M21" s="91" t="str">
        <f>IF(ISERROR('Passivo Não Corrente'!M7),"",'Passivo Não Corrente'!M7)</f>
        <v/>
      </c>
      <c r="N21" s="446">
        <f>IF(ISERROR('Passivo Corrente'!N7),"",'Passivo Corrente'!N7)</f>
        <v>0</v>
      </c>
      <c r="O21" s="263"/>
    </row>
    <row r="22" spans="3:15" ht="30" customHeight="1" thickTop="1" thickBot="1" x14ac:dyDescent="0.4">
      <c r="C22" s="30" t="str">
        <f>'Activos Correntes'!C35</f>
        <v>1.2.4</v>
      </c>
      <c r="D22" s="121" t="str">
        <f>'Activos Correntes'!D35</f>
        <v>Outros activos correntes</v>
      </c>
      <c r="E22" s="99">
        <f>IF(ISERROR('Activos Correntes'!L8),"",'Activos Correntes'!L8)</f>
        <v>172223189.54999998</v>
      </c>
      <c r="F22" s="91">
        <f>IF(ISERROR('Activos Correntes'!M8),"",'Activos Correntes'!M8)</f>
        <v>0.11004021846472711</v>
      </c>
      <c r="G22" s="446">
        <f>IF(ISERROR('Activos Correntes'!N8),"",'Activos Correntes'!N8)</f>
        <v>0</v>
      </c>
      <c r="H22" s="251"/>
      <c r="J22" s="89" t="str">
        <f>'Passivo Corrente'!J8</f>
        <v>2.3.4</v>
      </c>
      <c r="K22" s="434" t="str">
        <f>'Passivo Corrente'!K8</f>
        <v>Empréstimos de Curto Prazo</v>
      </c>
      <c r="L22" s="99">
        <f>IF(ISERROR('Passivo Corrente'!L8),"",'Passivo Corrente'!L8)</f>
        <v>0</v>
      </c>
      <c r="M22" s="91" t="str">
        <f>IF(ISERROR('Passivo Não Corrente'!M8),"",'Passivo Não Corrente'!M8)</f>
        <v/>
      </c>
      <c r="N22" s="446">
        <f>IF(ISERROR('Passivo Corrente'!N8),"",'Passivo Corrente'!N8)</f>
        <v>0</v>
      </c>
      <c r="O22" s="259"/>
    </row>
    <row r="23" spans="3:15" ht="30" customHeight="1" thickTop="1" thickBot="1" x14ac:dyDescent="0.4">
      <c r="C23" s="30" t="str">
        <f>'Activos Correntes'!C40</f>
        <v>1.2.5</v>
      </c>
      <c r="D23" s="121" t="str">
        <f>'Activos Correntes'!D40</f>
        <v>Estado</v>
      </c>
      <c r="E23" s="99">
        <f>IF(ISERROR('Activos Correntes'!L9),"",'Activos Correntes'!L9)</f>
        <v>0</v>
      </c>
      <c r="F23" s="241">
        <f>IF(ISERROR('Activos Correntes'!M9),"",'Activos Correntes'!M9)</f>
        <v>0</v>
      </c>
      <c r="G23" s="446">
        <f>IF(ISERROR('Activos Correntes'!N9),"",'Activos Correntes'!N9)</f>
        <v>0</v>
      </c>
      <c r="H23" s="256"/>
      <c r="J23" s="89" t="str">
        <f>'Passivo Corrente'!J9</f>
        <v>2.3.5</v>
      </c>
      <c r="K23" s="434" t="str">
        <f>'Passivo Corrente'!K9</f>
        <v>Parte Correspondente dos Empréstimos de Médio e Longo Prazo</v>
      </c>
      <c r="L23" s="99">
        <f>IF(ISERROR('Passivo Corrente'!L9),"",'Passivo Corrente'!L9)</f>
        <v>0</v>
      </c>
      <c r="M23" s="91" t="str">
        <f>IF(ISERROR('Passivo Não Corrente'!M9),"",'Passivo Não Corrente'!M9)</f>
        <v/>
      </c>
      <c r="N23" s="446">
        <f>IF(ISERROR('Passivo Corrente'!N9),"",'Passivo Corrente'!N9)</f>
        <v>0</v>
      </c>
      <c r="O23" s="259"/>
    </row>
    <row r="24" spans="3:15" ht="30" customHeight="1" thickTop="1" thickBot="1" x14ac:dyDescent="0.4">
      <c r="C24" s="30">
        <f>'Activos Correntes'!C50</f>
        <v>0</v>
      </c>
      <c r="D24" s="121">
        <f>'Activos Correntes'!D50</f>
        <v>0</v>
      </c>
      <c r="E24" s="99">
        <f>IF(ISERROR('Activos Correntes'!L10),"",'Activos Correntes'!L10)</f>
        <v>0</v>
      </c>
      <c r="F24" s="91">
        <f>IF(ISERROR('Activos Correntes'!M10),"",'Activos Correntes'!M10)</f>
        <v>0</v>
      </c>
      <c r="G24" s="446">
        <f>IF(ISERROR('Activos Correntes'!N10),"",'Activos Correntes'!N10)</f>
        <v>0</v>
      </c>
      <c r="H24" s="251"/>
      <c r="I24" s="242"/>
      <c r="J24" s="89" t="str">
        <f>'Passivo Corrente'!J10</f>
        <v>2.3.6</v>
      </c>
      <c r="K24" s="434" t="str">
        <f>'Passivo Corrente'!K10</f>
        <v>Estado</v>
      </c>
      <c r="L24" s="99">
        <f>IF(ISERROR('Passivo Corrente'!L10),"",'Passivo Corrente'!L10)</f>
        <v>487794092.52000004</v>
      </c>
      <c r="M24" s="91" t="str">
        <f>IF(ISERROR('Passivo Não Corrente'!M10),"",'Passivo Não Corrente'!M10)</f>
        <v/>
      </c>
      <c r="N24" s="446">
        <f>IF(ISERROR('Passivo Corrente'!N10),"",'Passivo Corrente'!N10)</f>
        <v>0</v>
      </c>
      <c r="O24" s="259"/>
    </row>
    <row r="25" spans="3:15" ht="30" customHeight="1" thickTop="1" thickBot="1" x14ac:dyDescent="0.4">
      <c r="C25" s="30"/>
      <c r="D25" s="32"/>
      <c r="E25" s="99"/>
      <c r="F25" s="235"/>
      <c r="G25" s="255"/>
      <c r="H25" s="256"/>
      <c r="J25" s="89" t="str">
        <f>'Passivo Corrente'!J11</f>
        <v>2.3.7</v>
      </c>
      <c r="K25" s="434" t="str">
        <f>'Passivo Corrente'!K11</f>
        <v>Outros Passivos Correntes</v>
      </c>
      <c r="L25" s="99">
        <f>IF(ISERROR('Passivo Corrente'!L11),"",'Passivo Corrente'!L11)</f>
        <v>443261193.25</v>
      </c>
      <c r="M25" s="91" t="str">
        <f>IF(ISERROR('Passivo Não Corrente'!#REF!),"",'Passivo Não Corrente'!#REF!)</f>
        <v/>
      </c>
      <c r="N25" s="446">
        <f>IF(ISERROR('Passivo Corrente'!N11),"",'Passivo Corrente'!N11)</f>
        <v>-293794.13</v>
      </c>
      <c r="O25" s="261"/>
    </row>
    <row r="26" spans="3:15" ht="30" customHeight="1" thickTop="1" thickBot="1" x14ac:dyDescent="0.4">
      <c r="C26" s="30"/>
      <c r="D26" s="32"/>
      <c r="E26" s="99"/>
      <c r="F26" s="91"/>
      <c r="G26" s="249"/>
      <c r="H26" s="251"/>
      <c r="J26" s="741" t="s">
        <v>1253</v>
      </c>
      <c r="K26" s="741"/>
      <c r="L26" s="703">
        <f>IF(ISERROR(SUM(L19:L25)),"",SUM(L19:L25))</f>
        <v>1938036280.8599999</v>
      </c>
      <c r="M26" s="703"/>
      <c r="N26" s="709">
        <f>IF(ISERROR(SUM(N19:N25)),"",SUM(N19:N25))</f>
        <v>-2846941.32</v>
      </c>
      <c r="O26" s="709"/>
    </row>
    <row r="27" spans="3:15" ht="30" customHeight="1" thickTop="1" thickBot="1" x14ac:dyDescent="0.5">
      <c r="C27" s="30"/>
      <c r="D27" s="32"/>
      <c r="E27" s="99"/>
      <c r="F27" s="91"/>
      <c r="G27" s="252"/>
      <c r="H27" s="254"/>
      <c r="J27" s="732" t="s">
        <v>1408</v>
      </c>
      <c r="K27" s="732"/>
      <c r="L27" s="735">
        <v>1828476000</v>
      </c>
      <c r="M27" s="736"/>
      <c r="N27" s="721">
        <v>313116786.31</v>
      </c>
      <c r="O27" s="722"/>
    </row>
    <row r="28" spans="3:15" ht="30" customHeight="1" thickTop="1" thickBot="1" x14ac:dyDescent="0.4">
      <c r="C28" s="30"/>
      <c r="D28" s="32"/>
      <c r="E28" s="99"/>
      <c r="F28" s="91"/>
      <c r="G28" s="252"/>
      <c r="H28" s="254"/>
      <c r="J28" s="733" t="s">
        <v>1409</v>
      </c>
      <c r="K28" s="734"/>
      <c r="L28" s="723">
        <f>L26-L27</f>
        <v>109560280.8599999</v>
      </c>
      <c r="M28" s="724"/>
      <c r="N28" s="717">
        <f>N26-N27</f>
        <v>-315963727.63</v>
      </c>
      <c r="O28" s="718"/>
    </row>
    <row r="29" spans="3:15" ht="30" customHeight="1" thickTop="1" thickBot="1" x14ac:dyDescent="0.4">
      <c r="C29" s="30"/>
      <c r="D29" s="32"/>
      <c r="E29" s="99"/>
      <c r="F29" s="241"/>
      <c r="G29" s="255"/>
      <c r="H29" s="256"/>
      <c r="O29" s="244"/>
    </row>
    <row r="30" spans="3:15" ht="30" customHeight="1" thickTop="1" thickBot="1" x14ac:dyDescent="0.4">
      <c r="C30" s="30"/>
      <c r="D30" s="32"/>
      <c r="E30" s="99"/>
      <c r="F30" s="91"/>
      <c r="G30" s="249"/>
      <c r="H30" s="251"/>
      <c r="J30" s="92" t="str">
        <f>'Capital Próprio'!J4</f>
        <v>2.1</v>
      </c>
      <c r="K30" s="153" t="s">
        <v>1412</v>
      </c>
      <c r="L30" s="672" t="s">
        <v>1243</v>
      </c>
      <c r="M30" s="673"/>
      <c r="N30" s="769" t="s">
        <v>1244</v>
      </c>
      <c r="O30" s="770"/>
    </row>
    <row r="31" spans="3:15" ht="30" customHeight="1" thickTop="1" thickBot="1" x14ac:dyDescent="0.4">
      <c r="C31" s="30"/>
      <c r="D31" s="32"/>
      <c r="E31" s="99"/>
      <c r="F31" s="91"/>
      <c r="G31" s="252"/>
      <c r="H31" s="254"/>
      <c r="J31" s="89" t="str">
        <f>'Capital Próprio'!J5</f>
        <v>2.1.1</v>
      </c>
      <c r="K31" s="121" t="str">
        <f>'Capital Próprio'!K5</f>
        <v xml:space="preserve">Capital </v>
      </c>
      <c r="L31" s="99">
        <f>IF(ISERROR('Capital Próprio'!L5),"",'Capital Próprio'!L5)</f>
        <v>262500000</v>
      </c>
      <c r="M31" s="91" t="str">
        <f>IF(ISERROR('Capital Próprio'!M5),"",'Capital Próprio'!M5)</f>
        <v/>
      </c>
      <c r="N31" s="446">
        <f>IF(ISERROR('Capital Próprio'!N5),"",'Capital Próprio'!N5)</f>
        <v>0</v>
      </c>
      <c r="O31" s="260"/>
    </row>
    <row r="32" spans="3:15" ht="30" customHeight="1" thickTop="1" thickBot="1" x14ac:dyDescent="0.4">
      <c r="C32" s="766" t="s">
        <v>1253</v>
      </c>
      <c r="D32" s="766"/>
      <c r="E32" s="767">
        <f>IF(ISERROR(SUM(E19:E31)),"",SUM(E19:E31))</f>
        <v>1565093126.4300001</v>
      </c>
      <c r="F32" s="768"/>
      <c r="G32" s="749">
        <f>IF(ISERROR(SUM(G19:G31)),"",SUM(G19:G31))</f>
        <v>0</v>
      </c>
      <c r="H32" s="750"/>
      <c r="J32" s="89" t="str">
        <f>'Capital Próprio'!J6</f>
        <v>2.1.2</v>
      </c>
      <c r="K32" s="121" t="str">
        <f>'Capital Próprio'!K6</f>
        <v>Reservas</v>
      </c>
      <c r="L32" s="99">
        <f>IF(ISERROR('Capital Próprio'!L6),"",'Capital Próprio'!L6)</f>
        <v>0</v>
      </c>
      <c r="M32" s="91" t="str">
        <f>IF(ISERROR('Capital Próprio'!M6),"",'Capital Próprio'!M6)</f>
        <v/>
      </c>
      <c r="N32" s="446">
        <f>IF(ISERROR('Capital Próprio'!N6),"",'Capital Próprio'!N6)</f>
        <v>0</v>
      </c>
      <c r="O32" s="258"/>
    </row>
    <row r="33" spans="3:15" ht="30" customHeight="1" thickTop="1" thickBot="1" x14ac:dyDescent="0.5">
      <c r="C33" s="762" t="s">
        <v>1408</v>
      </c>
      <c r="D33" s="763"/>
      <c r="E33" s="758">
        <v>1565093126.4300001</v>
      </c>
      <c r="F33" s="759"/>
      <c r="G33" s="751">
        <v>839667848.29999995</v>
      </c>
      <c r="H33" s="752"/>
      <c r="J33" s="89" t="str">
        <f>'Capital Próprio'!J7</f>
        <v>2.1.3</v>
      </c>
      <c r="K33" s="121" t="str">
        <f>'Capital Próprio'!K7</f>
        <v>Resultados transitados</v>
      </c>
      <c r="L33" s="99">
        <f>IF(ISERROR('Capital Próprio'!L7),"",'Capital Próprio'!L7)</f>
        <v>4593266203.0400009</v>
      </c>
      <c r="M33" s="91" t="str">
        <f>IF(ISERROR('Capital Próprio'!M7),"",'Capital Próprio'!M7)</f>
        <v/>
      </c>
      <c r="N33" s="446">
        <f>IF(ISERROR('Capital Próprio'!N7),"",'Capital Próprio'!N7)</f>
        <v>0</v>
      </c>
      <c r="O33" s="258"/>
    </row>
    <row r="34" spans="3:15" ht="30" customHeight="1" thickTop="1" thickBot="1" x14ac:dyDescent="0.5">
      <c r="C34" s="764" t="s">
        <v>1409</v>
      </c>
      <c r="D34" s="765"/>
      <c r="E34" s="760">
        <f>E32-E33</f>
        <v>0</v>
      </c>
      <c r="F34" s="761"/>
      <c r="G34" s="753">
        <f>G32-G33</f>
        <v>-839667848.29999995</v>
      </c>
      <c r="H34" s="754"/>
      <c r="I34" s="238"/>
      <c r="J34" s="89" t="str">
        <f>'Capital Próprio'!J8</f>
        <v>2.1.4</v>
      </c>
      <c r="K34" s="121" t="str">
        <f>'Capital Próprio'!K8</f>
        <v>Resultados do exercício</v>
      </c>
      <c r="L34" s="99">
        <f>IF(ISERROR('Capital Próprio'!L8),"",'Capital Próprio'!L8)</f>
        <v>-1674200192.9499998</v>
      </c>
      <c r="M34" s="91" t="str">
        <f>IF(ISERROR('Capital Próprio'!M8),"",'Capital Próprio'!M8)</f>
        <v/>
      </c>
      <c r="N34" s="446">
        <f>IF(ISERROR('Capital Próprio'!N8),"",'Capital Próprio'!N8)</f>
        <v>0</v>
      </c>
      <c r="O34" s="258"/>
    </row>
    <row r="35" spans="3:15" ht="30" customHeight="1" thickTop="1" thickBot="1" x14ac:dyDescent="0.4">
      <c r="G35" s="239"/>
      <c r="H35" s="240"/>
      <c r="I35" s="237"/>
      <c r="J35" s="89"/>
      <c r="K35" s="121"/>
      <c r="L35" s="99" t="str">
        <f>IF(ISERROR('Capital Próprio'!L9),"",'Capital Próprio'!L9)</f>
        <v/>
      </c>
      <c r="M35" s="91" t="str">
        <f>IF(ISERROR('Capital Próprio'!M9),"",'Capital Próprio'!M9)</f>
        <v/>
      </c>
      <c r="N35" s="258"/>
      <c r="O35" s="258"/>
    </row>
    <row r="36" spans="3:15" ht="30" customHeight="1" thickTop="1" thickBot="1" x14ac:dyDescent="0.4">
      <c r="C36" s="671" t="s">
        <v>1413</v>
      </c>
      <c r="D36" s="672"/>
      <c r="E36" s="672"/>
      <c r="F36" s="672"/>
      <c r="G36" s="233"/>
      <c r="H36" s="247"/>
      <c r="J36" s="713" t="s">
        <v>1253</v>
      </c>
      <c r="K36" s="714"/>
      <c r="L36" s="665">
        <f>IF(ISERROR(SUM(L31:L35)),"",SUM(L31:L35))</f>
        <v>3181566010.0900011</v>
      </c>
      <c r="M36" s="666"/>
      <c r="N36" s="719">
        <f>IF(ISERROR(SUM(N31:N35)),"",SUM(N31:N35))</f>
        <v>0</v>
      </c>
      <c r="O36" s="720"/>
    </row>
    <row r="37" spans="3:15" ht="30" customHeight="1" thickTop="1" thickBot="1" x14ac:dyDescent="0.5">
      <c r="C37" s="756" t="s">
        <v>1414</v>
      </c>
      <c r="D37" s="757"/>
      <c r="E37" s="665">
        <f>IF(ISERROR(E14+E32),"",E14+E32)</f>
        <v>5010043583.5299997</v>
      </c>
      <c r="F37" s="666"/>
      <c r="G37" s="665">
        <f>IF(ISERROR(G14+G32),"",G14+G32)</f>
        <v>0</v>
      </c>
      <c r="H37" s="666"/>
      <c r="J37" s="715" t="s">
        <v>1408</v>
      </c>
      <c r="K37" s="716"/>
      <c r="L37" s="665">
        <v>3181566010.0900002</v>
      </c>
      <c r="M37" s="666"/>
      <c r="N37" s="721">
        <v>661437357.25999999</v>
      </c>
      <c r="O37" s="722"/>
    </row>
    <row r="38" spans="3:15" ht="30" customHeight="1" thickTop="1" thickBot="1" x14ac:dyDescent="0.4">
      <c r="C38" s="756" t="s">
        <v>1415</v>
      </c>
      <c r="D38" s="757"/>
      <c r="E38" s="665">
        <f>IF(ISERROR(L14+L26+L36),"",L14+L26+L36)</f>
        <v>5119602290.9500008</v>
      </c>
      <c r="F38" s="666"/>
      <c r="G38" s="665">
        <f>IF(ISERROR(N14+N26+N36),"",N14+N26+N36)</f>
        <v>-2846941.32</v>
      </c>
      <c r="H38" s="666"/>
      <c r="J38" s="733" t="s">
        <v>1409</v>
      </c>
      <c r="K38" s="734"/>
      <c r="L38" s="723">
        <f>L36-L37</f>
        <v>0</v>
      </c>
      <c r="M38" s="724"/>
      <c r="N38" s="717">
        <f>N36-N37</f>
        <v>-661437357.25999999</v>
      </c>
      <c r="O38" s="718"/>
    </row>
    <row r="39" spans="3:15" ht="30" customHeight="1" thickTop="1" thickBot="1" x14ac:dyDescent="0.4">
      <c r="E39" s="61"/>
      <c r="J39" s="742"/>
      <c r="K39" s="743"/>
      <c r="L39" s="449"/>
      <c r="M39" s="450"/>
      <c r="N39" s="451"/>
      <c r="O39" s="451"/>
    </row>
    <row r="40" spans="3:15" ht="30" customHeight="1" thickTop="1" thickBot="1" x14ac:dyDescent="0.4">
      <c r="C40" s="671" t="s">
        <v>1416</v>
      </c>
      <c r="D40" s="672"/>
      <c r="E40" s="748" t="str">
        <f>IF(E37=E38,"CORRECTO","REVER")</f>
        <v>REVER</v>
      </c>
      <c r="F40" s="748"/>
      <c r="G40" s="748" t="str">
        <f>IF(G37=G38,"CORRECTO","REVER")</f>
        <v>REVER</v>
      </c>
      <c r="H40" s="748"/>
      <c r="J40" s="737"/>
      <c r="K40" s="738"/>
      <c r="L40" s="739"/>
      <c r="M40" s="740"/>
      <c r="N40" s="451"/>
      <c r="O40" s="451"/>
    </row>
    <row r="41" spans="3:15" ht="30" customHeight="1" thickTop="1" thickBot="1" x14ac:dyDescent="0.5">
      <c r="J41" s="747"/>
      <c r="K41" s="747"/>
      <c r="L41" s="728"/>
      <c r="M41" s="729"/>
      <c r="N41" s="452"/>
      <c r="O41" s="452"/>
    </row>
    <row r="42" spans="3:15" ht="30" customHeight="1" thickTop="1" thickBot="1" x14ac:dyDescent="0.5">
      <c r="J42" s="726"/>
      <c r="K42" s="727"/>
      <c r="L42" s="730"/>
      <c r="M42" s="731"/>
      <c r="N42" s="451"/>
      <c r="O42" s="451"/>
    </row>
    <row r="43" spans="3:15" ht="30" customHeight="1" thickTop="1" x14ac:dyDescent="0.35">
      <c r="J43" s="125"/>
      <c r="K43" s="65"/>
    </row>
    <row r="44" spans="3:15" ht="30" customHeight="1" x14ac:dyDescent="0.35"/>
    <row r="45" spans="3:15" ht="30" customHeight="1" x14ac:dyDescent="0.35"/>
    <row r="46" spans="3:15" ht="30" customHeight="1" x14ac:dyDescent="0.35"/>
    <row r="47" spans="3:15" ht="30" customHeight="1" x14ac:dyDescent="0.35"/>
    <row r="48" spans="3:15" ht="30" customHeight="1" x14ac:dyDescent="0.35"/>
    <row r="49" ht="30" customHeight="1" x14ac:dyDescent="0.35"/>
    <row r="50" ht="30" customHeight="1" x14ac:dyDescent="0.35"/>
    <row r="51" ht="30" customHeight="1" x14ac:dyDescent="0.35"/>
    <row r="52" ht="30" customHeight="1" x14ac:dyDescent="0.35"/>
    <row r="53" ht="30" customHeight="1" x14ac:dyDescent="0.35"/>
    <row r="54" ht="30" customHeight="1" x14ac:dyDescent="0.35"/>
    <row r="55" ht="30" customHeight="1" x14ac:dyDescent="0.35"/>
    <row r="56" ht="30" customHeight="1" x14ac:dyDescent="0.35"/>
    <row r="57" ht="30" customHeight="1" x14ac:dyDescent="0.35"/>
    <row r="58" ht="30" customHeight="1" x14ac:dyDescent="0.35"/>
    <row r="59" ht="30" customHeight="1" x14ac:dyDescent="0.35"/>
    <row r="60" ht="30" customHeight="1" x14ac:dyDescent="0.35"/>
    <row r="61" ht="30" customHeight="1" x14ac:dyDescent="0.35"/>
    <row r="62" ht="30" customHeight="1" x14ac:dyDescent="0.35"/>
    <row r="63" ht="30" customHeight="1" x14ac:dyDescent="0.35"/>
    <row r="64" ht="30" customHeight="1" x14ac:dyDescent="0.35"/>
    <row r="65" ht="30" customHeight="1" x14ac:dyDescent="0.35"/>
    <row r="66" ht="30" customHeight="1" x14ac:dyDescent="0.35"/>
    <row r="67" ht="30" customHeight="1" x14ac:dyDescent="0.35"/>
    <row r="68" ht="30" customHeight="1" x14ac:dyDescent="0.35"/>
    <row r="69" ht="30" customHeight="1" x14ac:dyDescent="0.35"/>
    <row r="70" ht="30" customHeight="1" x14ac:dyDescent="0.35"/>
    <row r="71" ht="30" customHeight="1" x14ac:dyDescent="0.35"/>
    <row r="72" ht="30" customHeight="1" x14ac:dyDescent="0.35"/>
    <row r="73" ht="30" customHeight="1" x14ac:dyDescent="0.35"/>
    <row r="74" ht="30" customHeight="1" x14ac:dyDescent="0.35"/>
    <row r="75" ht="30" customHeight="1" x14ac:dyDescent="0.35"/>
    <row r="76" ht="30" customHeight="1" x14ac:dyDescent="0.35"/>
    <row r="77" ht="30" customHeight="1" x14ac:dyDescent="0.35"/>
    <row r="78" ht="30" customHeight="1" x14ac:dyDescent="0.35"/>
    <row r="79" ht="30" customHeight="1" x14ac:dyDescent="0.35"/>
    <row r="80" ht="30" customHeight="1" x14ac:dyDescent="0.35"/>
    <row r="81" ht="30" customHeight="1" x14ac:dyDescent="0.35"/>
    <row r="82" ht="30" customHeight="1" x14ac:dyDescent="0.35"/>
    <row r="83" ht="30" customHeight="1" x14ac:dyDescent="0.35"/>
    <row r="84" ht="30" customHeight="1" x14ac:dyDescent="0.35"/>
    <row r="85" ht="30" customHeight="1" x14ac:dyDescent="0.35"/>
    <row r="86" ht="30" customHeight="1" x14ac:dyDescent="0.35"/>
    <row r="87" ht="30" customHeight="1" x14ac:dyDescent="0.35"/>
    <row r="88" ht="30" customHeight="1" x14ac:dyDescent="0.35"/>
    <row r="89" ht="30" customHeight="1" x14ac:dyDescent="0.35"/>
    <row r="90" ht="30" customHeight="1" x14ac:dyDescent="0.35"/>
    <row r="91" ht="30" customHeight="1" x14ac:dyDescent="0.35"/>
    <row r="92" ht="30" customHeight="1" x14ac:dyDescent="0.35"/>
    <row r="93" ht="30" customHeight="1" x14ac:dyDescent="0.35"/>
    <row r="94" ht="30" customHeight="1" x14ac:dyDescent="0.35"/>
    <row r="95" ht="30" customHeight="1" x14ac:dyDescent="0.35"/>
    <row r="96" ht="30" customHeight="1" x14ac:dyDescent="0.35"/>
    <row r="97" ht="34" customHeight="1" x14ac:dyDescent="0.35"/>
    <row r="98" ht="34" customHeight="1" x14ac:dyDescent="0.35"/>
    <row r="99" ht="34" customHeight="1" x14ac:dyDescent="0.35"/>
    <row r="100" ht="34" customHeight="1" x14ac:dyDescent="0.35"/>
    <row r="101" ht="34" customHeight="1" x14ac:dyDescent="0.35"/>
    <row r="102" ht="34" customHeight="1" x14ac:dyDescent="0.35"/>
    <row r="103" ht="34" customHeight="1" x14ac:dyDescent="0.35"/>
    <row r="104" ht="34" customHeight="1" x14ac:dyDescent="0.35"/>
    <row r="105" ht="34" customHeight="1" x14ac:dyDescent="0.35"/>
    <row r="106" ht="34" customHeight="1" x14ac:dyDescent="0.35"/>
    <row r="107" ht="34" customHeight="1" x14ac:dyDescent="0.35"/>
    <row r="108" ht="34" customHeight="1" x14ac:dyDescent="0.35"/>
    <row r="109" ht="34" customHeight="1" x14ac:dyDescent="0.35"/>
    <row r="110" ht="34" customHeight="1" x14ac:dyDescent="0.35"/>
    <row r="111" ht="34" customHeight="1" x14ac:dyDescent="0.35"/>
    <row r="112" ht="34" customHeight="1" x14ac:dyDescent="0.35"/>
    <row r="113" ht="34" customHeight="1" x14ac:dyDescent="0.35"/>
    <row r="114" ht="34" customHeight="1" x14ac:dyDescent="0.35"/>
    <row r="115" ht="34" customHeight="1" x14ac:dyDescent="0.35"/>
    <row r="116" ht="34" customHeight="1" x14ac:dyDescent="0.35"/>
    <row r="117" ht="34" customHeight="1" x14ac:dyDescent="0.35"/>
    <row r="118" ht="34" customHeight="1" x14ac:dyDescent="0.35"/>
    <row r="119" ht="34" customHeight="1" x14ac:dyDescent="0.35"/>
    <row r="120" ht="34" customHeight="1" x14ac:dyDescent="0.35"/>
    <row r="121" ht="34" customHeight="1" x14ac:dyDescent="0.35"/>
    <row r="122" ht="34" customHeight="1" x14ac:dyDescent="0.35"/>
    <row r="123" ht="34" customHeight="1" x14ac:dyDescent="0.35"/>
    <row r="124" ht="34" customHeight="1" x14ac:dyDescent="0.35"/>
    <row r="125" ht="34" hidden="1" customHeight="1" x14ac:dyDescent="0.35"/>
    <row r="126" ht="14.5" hidden="1" x14ac:dyDescent="0.35"/>
    <row r="127" ht="14.5" hidden="1" x14ac:dyDescent="0.35"/>
    <row r="128" ht="14.5" hidden="1" x14ac:dyDescent="0.35"/>
    <row r="129" ht="14.5" hidden="1" x14ac:dyDescent="0.35"/>
    <row r="130" ht="14.5" hidden="1" x14ac:dyDescent="0.35"/>
    <row r="131" ht="14.5" hidden="1" x14ac:dyDescent="0.35"/>
    <row r="132" ht="14.5" hidden="1" x14ac:dyDescent="0.35"/>
    <row r="133" ht="14.5" hidden="1" x14ac:dyDescent="0.35"/>
    <row r="134" ht="14.5" hidden="1" x14ac:dyDescent="0.35"/>
    <row r="135" ht="14.5" hidden="1" x14ac:dyDescent="0.35"/>
    <row r="136" ht="14.5" hidden="1" x14ac:dyDescent="0.35"/>
    <row r="137" ht="14.5" hidden="1" x14ac:dyDescent="0.35"/>
    <row r="138" ht="14.5" hidden="1" x14ac:dyDescent="0.35"/>
    <row r="139" ht="14.5" hidden="1" x14ac:dyDescent="0.35"/>
    <row r="140" ht="14.5" hidden="1" x14ac:dyDescent="0.35"/>
    <row r="141" ht="14.5" hidden="1" x14ac:dyDescent="0.35"/>
    <row r="142" ht="14.5" x14ac:dyDescent="0.35"/>
    <row r="143" ht="14.5" x14ac:dyDescent="0.35"/>
    <row r="144" ht="14.5" x14ac:dyDescent="0.35"/>
    <row r="145" ht="14.5" x14ac:dyDescent="0.35"/>
    <row r="146" ht="14.5" hidden="1" x14ac:dyDescent="0.35"/>
    <row r="147" ht="14.5" hidden="1" x14ac:dyDescent="0.35"/>
    <row r="148" ht="14.5" x14ac:dyDescent="0.35"/>
    <row r="149" ht="14.5" hidden="1" x14ac:dyDescent="0.35"/>
    <row r="150" ht="14.5" hidden="1" x14ac:dyDescent="0.35"/>
    <row r="151" ht="14.5" x14ac:dyDescent="0.35"/>
    <row r="152" ht="14.5" x14ac:dyDescent="0.35"/>
    <row r="153" ht="14.5" hidden="1" x14ac:dyDescent="0.35"/>
    <row r="154" ht="14.5" hidden="1" x14ac:dyDescent="0.35"/>
    <row r="155" ht="14.5" hidden="1" x14ac:dyDescent="0.35"/>
    <row r="156" ht="14.5" hidden="1" x14ac:dyDescent="0.35"/>
    <row r="157" ht="14.5" hidden="1" x14ac:dyDescent="0.35"/>
    <row r="158" ht="14.5" hidden="1" x14ac:dyDescent="0.35"/>
    <row r="159" ht="14.5" hidden="1" x14ac:dyDescent="0.35"/>
    <row r="160" ht="14.5" x14ac:dyDescent="0.35"/>
  </sheetData>
  <mergeCells count="71">
    <mergeCell ref="L4:M4"/>
    <mergeCell ref="N4:O4"/>
    <mergeCell ref="N18:O18"/>
    <mergeCell ref="N30:O30"/>
    <mergeCell ref="N14:O14"/>
    <mergeCell ref="N15:O15"/>
    <mergeCell ref="N16:O16"/>
    <mergeCell ref="N26:O26"/>
    <mergeCell ref="N28:O28"/>
    <mergeCell ref="N27:O27"/>
    <mergeCell ref="L16:M16"/>
    <mergeCell ref="L14:M14"/>
    <mergeCell ref="L15:M15"/>
    <mergeCell ref="C14:D14"/>
    <mergeCell ref="C40:D40"/>
    <mergeCell ref="E40:F40"/>
    <mergeCell ref="E37:F37"/>
    <mergeCell ref="C37:D37"/>
    <mergeCell ref="D18:F18"/>
    <mergeCell ref="E33:F33"/>
    <mergeCell ref="E34:F34"/>
    <mergeCell ref="C33:D33"/>
    <mergeCell ref="C34:D34"/>
    <mergeCell ref="C38:D38"/>
    <mergeCell ref="E38:F38"/>
    <mergeCell ref="C36:F36"/>
    <mergeCell ref="C32:D32"/>
    <mergeCell ref="E32:F32"/>
    <mergeCell ref="C15:D15"/>
    <mergeCell ref="C16:D16"/>
    <mergeCell ref="G16:H16"/>
    <mergeCell ref="G15:H15"/>
    <mergeCell ref="E4:F4"/>
    <mergeCell ref="J41:K41"/>
    <mergeCell ref="E16:F16"/>
    <mergeCell ref="G40:H40"/>
    <mergeCell ref="G38:H38"/>
    <mergeCell ref="G37:H37"/>
    <mergeCell ref="G32:H32"/>
    <mergeCell ref="G33:H33"/>
    <mergeCell ref="G34:H34"/>
    <mergeCell ref="J38:K38"/>
    <mergeCell ref="E14:F14"/>
    <mergeCell ref="J14:K14"/>
    <mergeCell ref="E15:F15"/>
    <mergeCell ref="G14:H14"/>
    <mergeCell ref="G4:H4"/>
    <mergeCell ref="J42:K42"/>
    <mergeCell ref="L41:M41"/>
    <mergeCell ref="L42:M42"/>
    <mergeCell ref="J15:K15"/>
    <mergeCell ref="J16:K16"/>
    <mergeCell ref="J27:K27"/>
    <mergeCell ref="J28:K28"/>
    <mergeCell ref="L27:M27"/>
    <mergeCell ref="L28:M28"/>
    <mergeCell ref="J40:K40"/>
    <mergeCell ref="L40:M40"/>
    <mergeCell ref="J26:K26"/>
    <mergeCell ref="L26:M26"/>
    <mergeCell ref="J39:K39"/>
    <mergeCell ref="J36:K36"/>
    <mergeCell ref="J37:K37"/>
    <mergeCell ref="N38:O38"/>
    <mergeCell ref="L18:M18"/>
    <mergeCell ref="L30:M30"/>
    <mergeCell ref="N36:O36"/>
    <mergeCell ref="N37:O37"/>
    <mergeCell ref="L36:M36"/>
    <mergeCell ref="L37:M37"/>
    <mergeCell ref="L38:M38"/>
  </mergeCells>
  <conditionalFormatting sqref="E40:H40">
    <cfRule type="containsText" dxfId="40" priority="2" operator="containsText" text="REVER">
      <formula>NOT(ISERROR(SEARCH("REVER",E40)))</formula>
    </cfRule>
    <cfRule type="containsText" dxfId="39" priority="3" operator="containsText" text="CORRECTO">
      <formula>NOT(ISERROR(SEARCH("CORRECTO",E40)))</formula>
    </cfRule>
  </conditionalFormatting>
  <pageMargins left="0.511811024" right="0.511811024" top="0.78740157499999996" bottom="0.78740157499999996" header="0.31496062000000002" footer="0.31496062000000002"/>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7"/>
  <dimension ref="A1:V74"/>
  <sheetViews>
    <sheetView showGridLines="0" zoomScaleNormal="100" workbookViewId="0">
      <pane ySplit="3" topLeftCell="A4" activePane="bottomLeft" state="frozen"/>
      <selection pane="bottomLeft" activeCell="D8" sqref="D8"/>
    </sheetView>
  </sheetViews>
  <sheetFormatPr defaultColWidth="0" defaultRowHeight="14.5" x14ac:dyDescent="0.35"/>
  <cols>
    <col min="1" max="2" width="1.6328125" customWidth="1"/>
    <col min="3" max="3" width="14.90625" customWidth="1"/>
    <col min="4" max="4" width="75.90625" customWidth="1"/>
    <col min="5" max="5" width="27.26953125" bestFit="1" customWidth="1"/>
    <col min="6" max="6" width="18.7265625" customWidth="1"/>
    <col min="7" max="7" width="27.7265625" customWidth="1"/>
    <col min="8" max="8" width="18.7265625" customWidth="1"/>
    <col min="9" max="9" width="7.81640625" customWidth="1"/>
    <col min="10" max="10" width="14.90625" customWidth="1"/>
    <col min="11" max="11" width="75.90625" customWidth="1"/>
    <col min="12" max="12" width="27.81640625" bestFit="1" customWidth="1"/>
    <col min="13" max="13" width="18.7265625" customWidth="1"/>
    <col min="14" max="14" width="29.7265625" customWidth="1"/>
    <col min="15" max="15" width="16" customWidth="1"/>
    <col min="16" max="16" width="20.7265625" customWidth="1"/>
    <col min="17" max="22" width="0" hidden="1" customWidth="1"/>
    <col min="23" max="16384" width="9.1796875" hidden="1"/>
  </cols>
  <sheetData>
    <row r="1" spans="2:15" s="10" customFormat="1" ht="26.5" customHeight="1" x14ac:dyDescent="0.55000000000000004">
      <c r="B1" s="57"/>
      <c r="C1" s="57"/>
    </row>
    <row r="2" spans="2:15" s="10" customFormat="1" ht="26.5" customHeight="1" thickBot="1" x14ac:dyDescent="0.4">
      <c r="B2" s="537" t="s">
        <v>1242</v>
      </c>
    </row>
    <row r="3" spans="2:15" ht="14.15" customHeight="1" thickTop="1" thickBot="1" x14ac:dyDescent="0.4">
      <c r="E3" s="694" t="s">
        <v>1243</v>
      </c>
      <c r="F3" s="694"/>
      <c r="G3" s="694" t="s">
        <v>1244</v>
      </c>
      <c r="H3" s="694"/>
      <c r="J3" s="309"/>
      <c r="K3" s="309"/>
      <c r="L3" s="780" t="s">
        <v>1243</v>
      </c>
      <c r="M3" s="781"/>
      <c r="N3" s="780" t="s">
        <v>1244</v>
      </c>
      <c r="O3" s="781"/>
    </row>
    <row r="4" spans="2:15" ht="30" customHeight="1" thickTop="1" thickBot="1" x14ac:dyDescent="0.4">
      <c r="C4" s="92">
        <v>3</v>
      </c>
      <c r="D4" s="92" t="s">
        <v>1082</v>
      </c>
      <c r="E4" s="779">
        <f>IF(ISERROR($E$5+$E$15+$E$21+$E$31+$E$36+$E$40+$E$49+$E$53+$E$65),"",$E$5+$E$15+$E$21+$E$31+$E$36+$E$40+$E$49+$E$53+$E$65)</f>
        <v>4867221097.0500002</v>
      </c>
      <c r="F4" s="779"/>
      <c r="G4" s="779">
        <f>IF(ISERROR($G$5+$G$15+$G$21+$G$31+$G$36+$G$40+$G$49+$G$53+$G$65),"",$G$5+$G$15+$G$21+$G$31+$G$36+$G$40+$G$49+$G$53+$G$65)</f>
        <v>0</v>
      </c>
      <c r="H4" s="779"/>
      <c r="J4" s="92">
        <v>3</v>
      </c>
      <c r="K4" s="782" t="s">
        <v>1417</v>
      </c>
      <c r="L4" s="782"/>
      <c r="M4" s="782"/>
      <c r="N4" s="782"/>
      <c r="O4" s="782"/>
    </row>
    <row r="5" spans="2:15" ht="30" customHeight="1" thickTop="1" thickBot="1" x14ac:dyDescent="0.4">
      <c r="C5" s="106" t="s">
        <v>419</v>
      </c>
      <c r="D5" s="113" t="s">
        <v>420</v>
      </c>
      <c r="E5" s="655">
        <f>IF(ISERROR(SUM(E6:E14)),"",SUM(E6:E14))</f>
        <v>0</v>
      </c>
      <c r="F5" s="655"/>
      <c r="G5" s="655">
        <f>IF(ISERROR(SUM(G6:G14)),"",SUM(G6:G14))</f>
        <v>0</v>
      </c>
      <c r="H5" s="655"/>
      <c r="J5" s="30" t="str">
        <f>C5</f>
        <v>3.1</v>
      </c>
      <c r="K5" s="32" t="str">
        <f>D5</f>
        <v>Vendas</v>
      </c>
      <c r="L5" s="112">
        <f>IF(ISERROR($E$5),"",$E$5)</f>
        <v>0</v>
      </c>
      <c r="M5" s="115" t="str">
        <f>IF(ISERROR(L5/$N$5),"",L5/$N$5)</f>
        <v/>
      </c>
      <c r="N5" s="112">
        <f>IF(ISERROR($G$5),"",$G$5)</f>
        <v>0</v>
      </c>
      <c r="O5" s="351"/>
    </row>
    <row r="6" spans="2:15" ht="30" customHeight="1" thickTop="1" thickBot="1" x14ac:dyDescent="0.4">
      <c r="C6" s="114" t="s">
        <v>421</v>
      </c>
      <c r="D6" s="372" t="s">
        <v>874</v>
      </c>
      <c r="E6" s="373">
        <f>-Balancete!F302</f>
        <v>0</v>
      </c>
      <c r="F6" s="35" t="str">
        <f>IF(ISERROR(E6/$E$5),"",E6/$E$5)</f>
        <v/>
      </c>
      <c r="G6" s="373">
        <f>-Balancete!G302</f>
        <v>0</v>
      </c>
      <c r="H6" s="35"/>
      <c r="J6" s="30" t="str">
        <f>C15</f>
        <v>3.2</v>
      </c>
      <c r="K6" s="32" t="str">
        <f>D15</f>
        <v>Prestações de Serviço</v>
      </c>
      <c r="L6" s="112">
        <f>IF(ISERROR($E$15),"",$E$15)</f>
        <v>1769212327.72</v>
      </c>
      <c r="M6" s="115" t="str">
        <f t="shared" ref="M6:M13" si="0">IF(ISERROR(L6/$N$5),"",L6/$N$5)</f>
        <v/>
      </c>
      <c r="N6" s="112">
        <f>IF(ISERROR($G$15),"",$G$15)</f>
        <v>0</v>
      </c>
      <c r="O6" s="351"/>
    </row>
    <row r="7" spans="2:15" ht="30" customHeight="1" thickTop="1" thickBot="1" x14ac:dyDescent="0.4">
      <c r="C7" s="114" t="s">
        <v>424</v>
      </c>
      <c r="D7" s="372" t="s">
        <v>878</v>
      </c>
      <c r="E7" s="373">
        <f>-Balancete!F303</f>
        <v>0</v>
      </c>
      <c r="F7" s="35" t="str">
        <f t="shared" ref="F7:F14" si="1">IF(ISERROR(E7/$E$5),"",E7/$E$5)</f>
        <v/>
      </c>
      <c r="G7" s="373">
        <f>-Balancete!G303</f>
        <v>0</v>
      </c>
      <c r="H7" s="35"/>
      <c r="J7" s="30" t="str">
        <f>C21</f>
        <v>3.3</v>
      </c>
      <c r="K7" s="32" t="str">
        <f>D21</f>
        <v>Outros Proveitos Operacionais</v>
      </c>
      <c r="L7" s="112">
        <f>IF(ISERROR($E$21),"",$E$21)</f>
        <v>3062918878.1999998</v>
      </c>
      <c r="M7" s="115" t="str">
        <f t="shared" si="0"/>
        <v/>
      </c>
      <c r="N7" s="112">
        <f>IF(ISERROR($G$21),"",$G$21)</f>
        <v>0</v>
      </c>
      <c r="O7" s="351"/>
    </row>
    <row r="8" spans="2:15" ht="30" customHeight="1" thickTop="1" thickBot="1" x14ac:dyDescent="0.4">
      <c r="C8" s="114" t="s">
        <v>427</v>
      </c>
      <c r="D8" s="372" t="s">
        <v>857</v>
      </c>
      <c r="E8" s="373">
        <f>-Balancete!F304</f>
        <v>0</v>
      </c>
      <c r="F8" s="35" t="str">
        <f t="shared" si="1"/>
        <v/>
      </c>
      <c r="G8" s="373">
        <f>-Balancete!G304</f>
        <v>0</v>
      </c>
      <c r="H8" s="35"/>
      <c r="J8" s="30" t="str">
        <f>C31</f>
        <v>3.4</v>
      </c>
      <c r="K8" s="32" t="str">
        <f>D31</f>
        <v>Varição nos Produtos Acabados e Produtos em Vias de Fabrico</v>
      </c>
      <c r="L8" s="112">
        <f>IF(ISERROR($E$31),"",$E$31)</f>
        <v>0</v>
      </c>
      <c r="M8" s="115" t="str">
        <f t="shared" si="0"/>
        <v/>
      </c>
      <c r="N8" s="112">
        <f>IF(ISERROR($G$31),"",$G$31)</f>
        <v>0</v>
      </c>
      <c r="O8" s="351"/>
    </row>
    <row r="9" spans="2:15" ht="30" customHeight="1" thickTop="1" thickBot="1" x14ac:dyDescent="0.4">
      <c r="C9" s="114" t="s">
        <v>430</v>
      </c>
      <c r="D9" s="372" t="s">
        <v>869</v>
      </c>
      <c r="E9" s="373">
        <f>-Balancete!F305</f>
        <v>0</v>
      </c>
      <c r="F9" s="35" t="str">
        <f t="shared" si="1"/>
        <v/>
      </c>
      <c r="G9" s="373">
        <f>-Balancete!G305</f>
        <v>0</v>
      </c>
      <c r="H9" s="35"/>
      <c r="J9" s="30" t="str">
        <f>C36</f>
        <v>3.5</v>
      </c>
      <c r="K9" s="32" t="str">
        <f>D36</f>
        <v>Trabalhos para a Própria Empresa</v>
      </c>
      <c r="L9" s="112">
        <f>IF(ISERROR($E$36),"",$E$36)</f>
        <v>0</v>
      </c>
      <c r="M9" s="115" t="str">
        <f t="shared" si="0"/>
        <v/>
      </c>
      <c r="N9" s="112">
        <f>IF(ISERROR($G$36),"",$G$36)</f>
        <v>0</v>
      </c>
      <c r="O9" s="351"/>
    </row>
    <row r="10" spans="2:15" ht="30" customHeight="1" thickTop="1" thickBot="1" x14ac:dyDescent="0.4">
      <c r="C10" s="114" t="s">
        <v>433</v>
      </c>
      <c r="D10" s="372" t="s">
        <v>944</v>
      </c>
      <c r="E10" s="373">
        <f>-Balancete!F306</f>
        <v>0</v>
      </c>
      <c r="F10" s="35" t="str">
        <f t="shared" si="1"/>
        <v/>
      </c>
      <c r="G10" s="373">
        <f>-Balancete!G306</f>
        <v>0</v>
      </c>
      <c r="H10" s="35"/>
      <c r="J10" s="30" t="str">
        <f>C40</f>
        <v>3.6</v>
      </c>
      <c r="K10" s="32" t="str">
        <f>D40</f>
        <v>Proveitos e Ganhos Financeiros Gerais</v>
      </c>
      <c r="L10" s="112">
        <f>IF(ISERROR($E$40),"",$E$40)</f>
        <v>10089891.130000001</v>
      </c>
      <c r="M10" s="115" t="str">
        <f t="shared" si="0"/>
        <v/>
      </c>
      <c r="N10" s="112">
        <f>IF(ISERROR($G$40),"",$G$40)</f>
        <v>0</v>
      </c>
      <c r="O10" s="351"/>
    </row>
    <row r="11" spans="2:15" ht="30" customHeight="1" thickTop="1" thickBot="1" x14ac:dyDescent="0.4">
      <c r="C11" s="114" t="s">
        <v>436</v>
      </c>
      <c r="D11" s="372" t="s">
        <v>1087</v>
      </c>
      <c r="E11" s="373">
        <f>-Balancete!F307</f>
        <v>0</v>
      </c>
      <c r="F11" s="35" t="str">
        <f t="shared" si="1"/>
        <v/>
      </c>
      <c r="G11" s="373">
        <f>-Balancete!G307</f>
        <v>0</v>
      </c>
      <c r="H11" s="35"/>
      <c r="J11" s="30" t="str">
        <f>C49</f>
        <v>3.7</v>
      </c>
      <c r="K11" s="32" t="str">
        <f>D49</f>
        <v>Proveitos e Ganhos Financeiros em Susidiárias e Associadas</v>
      </c>
      <c r="L11" s="112">
        <f>IF(ISERROR($E$49),"",$E$49)</f>
        <v>0</v>
      </c>
      <c r="M11" s="115" t="str">
        <f t="shared" si="0"/>
        <v/>
      </c>
      <c r="N11" s="112">
        <f>IF(ISERROR($G$49),"",$G$49)</f>
        <v>0</v>
      </c>
      <c r="O11" s="351"/>
    </row>
    <row r="12" spans="2:15" ht="30" customHeight="1" thickTop="1" thickBot="1" x14ac:dyDescent="0.4">
      <c r="C12" s="114" t="s">
        <v>439</v>
      </c>
      <c r="D12" s="372" t="s">
        <v>1094</v>
      </c>
      <c r="E12" s="373">
        <f>-Balancete!F308</f>
        <v>0</v>
      </c>
      <c r="F12" s="35" t="str">
        <f t="shared" si="1"/>
        <v/>
      </c>
      <c r="G12" s="373">
        <f>-Balancete!G308</f>
        <v>0</v>
      </c>
      <c r="H12" s="35"/>
      <c r="J12" s="30" t="str">
        <f>C53</f>
        <v>3.8</v>
      </c>
      <c r="K12" s="32" t="str">
        <f>D53</f>
        <v>Outros Proveitos e Ganhos não Operacionais</v>
      </c>
      <c r="L12" s="112">
        <f>IF(ISERROR($E$53),"",$E$53)</f>
        <v>25000000</v>
      </c>
      <c r="M12" s="115" t="str">
        <f t="shared" si="0"/>
        <v/>
      </c>
      <c r="N12" s="112">
        <f>IF(ISERROR($G$53),"",$G$53)</f>
        <v>0</v>
      </c>
      <c r="O12" s="351"/>
    </row>
    <row r="13" spans="2:15" ht="30" customHeight="1" thickTop="1" thickBot="1" x14ac:dyDescent="0.4">
      <c r="C13" s="114" t="s">
        <v>442</v>
      </c>
      <c r="D13" s="372"/>
      <c r="E13" s="374"/>
      <c r="F13" s="35" t="str">
        <f t="shared" si="1"/>
        <v/>
      </c>
      <c r="G13" s="335"/>
      <c r="H13" s="35"/>
      <c r="J13" s="30" t="str">
        <f>C65</f>
        <v>3.9</v>
      </c>
      <c r="K13" s="32" t="str">
        <f>D65</f>
        <v>Proveitos e Ganhos Extraordinários</v>
      </c>
      <c r="L13" s="112">
        <f>IF(ISERROR($E$65),"",$E$65)</f>
        <v>0</v>
      </c>
      <c r="M13" s="115" t="str">
        <f t="shared" si="0"/>
        <v/>
      </c>
      <c r="N13" s="112">
        <f>IF(ISERROR($G$65),"",$G$65)</f>
        <v>0</v>
      </c>
      <c r="O13" s="351"/>
    </row>
    <row r="14" spans="2:15" ht="30" customHeight="1" thickTop="1" thickBot="1" x14ac:dyDescent="0.4">
      <c r="C14" s="114" t="s">
        <v>1418</v>
      </c>
      <c r="D14" s="372"/>
      <c r="E14" s="375"/>
      <c r="F14" s="35" t="str">
        <f t="shared" si="1"/>
        <v/>
      </c>
      <c r="G14" s="335"/>
      <c r="H14" s="35"/>
      <c r="O14" s="237"/>
    </row>
    <row r="15" spans="2:15" ht="30" customHeight="1" thickTop="1" thickBot="1" x14ac:dyDescent="0.4">
      <c r="C15" s="89" t="s">
        <v>445</v>
      </c>
      <c r="D15" s="90" t="s">
        <v>1089</v>
      </c>
      <c r="E15" s="698">
        <f>IF(ISERROR(SUM(E16:E20)),"",SUM(E16:E20))</f>
        <v>1769212327.72</v>
      </c>
      <c r="F15" s="676"/>
      <c r="G15" s="698">
        <f>IF(ISERROR(SUM(G16:G20)),"",SUM(G16:G20))</f>
        <v>0</v>
      </c>
      <c r="H15" s="676"/>
      <c r="J15" s="683" t="s">
        <v>1419</v>
      </c>
      <c r="K15" s="684"/>
      <c r="L15" s="684"/>
      <c r="M15" s="684"/>
      <c r="N15" s="671"/>
      <c r="O15" s="673"/>
    </row>
    <row r="16" spans="2:15" ht="30" customHeight="1" thickTop="1" thickBot="1" x14ac:dyDescent="0.4">
      <c r="C16" s="114" t="s">
        <v>447</v>
      </c>
      <c r="D16" s="372" t="s">
        <v>1091</v>
      </c>
      <c r="E16" s="373">
        <f>-Balancete!F310</f>
        <v>833938049.21000004</v>
      </c>
      <c r="F16" s="115">
        <f>IF(ISERROR(E16/$E$15),"",E16/$E$15)</f>
        <v>0.47136120189977626</v>
      </c>
      <c r="G16" s="373">
        <f>-Balancete!G310</f>
        <v>0</v>
      </c>
      <c r="H16" s="115"/>
      <c r="J16" s="688" t="s">
        <v>1253</v>
      </c>
      <c r="K16" s="688"/>
      <c r="L16" s="703">
        <f>IF(ISERROR(SUM($L$5:$L$13)),"",SUM($L$5:$L$13))</f>
        <v>4867221097.0500002</v>
      </c>
      <c r="M16" s="703"/>
      <c r="N16" s="703">
        <f>IF(ISERROR(SUM($N$5:$N$13)),"",SUM($N$5:$N$13))</f>
        <v>0</v>
      </c>
      <c r="O16" s="703"/>
    </row>
    <row r="17" spans="3:8" ht="30" customHeight="1" thickTop="1" thickBot="1" x14ac:dyDescent="0.4">
      <c r="C17" s="114" t="s">
        <v>450</v>
      </c>
      <c r="D17" s="372" t="s">
        <v>1420</v>
      </c>
      <c r="E17" s="373">
        <f>-Balancete!F311</f>
        <v>935274278.50999999</v>
      </c>
      <c r="F17" s="115">
        <f>IF(ISERROR(E17/$E$15),"",E17/$E$15)</f>
        <v>0.52863879810022374</v>
      </c>
      <c r="G17" s="373">
        <f>-Balancete!G311</f>
        <v>0</v>
      </c>
      <c r="H17" s="115"/>
    </row>
    <row r="18" spans="3:8" ht="30" customHeight="1" thickTop="1" thickBot="1" x14ac:dyDescent="0.4">
      <c r="C18" s="114" t="s">
        <v>453</v>
      </c>
      <c r="D18" s="372" t="s">
        <v>1094</v>
      </c>
      <c r="E18" s="373">
        <f>-Balancete!F312</f>
        <v>0</v>
      </c>
      <c r="F18" s="115">
        <f>IF(ISERROR(E18/$E$15),"",E18/$E$15)</f>
        <v>0</v>
      </c>
      <c r="G18" s="373">
        <f>-Balancete!G312</f>
        <v>0</v>
      </c>
      <c r="H18" s="115"/>
    </row>
    <row r="19" spans="3:8" ht="30" customHeight="1" thickTop="1" thickBot="1" x14ac:dyDescent="0.4">
      <c r="C19" s="114" t="s">
        <v>455</v>
      </c>
      <c r="D19" s="372"/>
      <c r="E19" s="373"/>
      <c r="F19" s="115">
        <f t="shared" ref="F19:F20" si="2">IF(ISERROR(E19/$E$15),"",E19/$E$15)</f>
        <v>0</v>
      </c>
      <c r="G19" s="373"/>
      <c r="H19" s="115"/>
    </row>
    <row r="20" spans="3:8" ht="30" customHeight="1" thickTop="1" thickBot="1" x14ac:dyDescent="0.4">
      <c r="C20" s="114" t="s">
        <v>1421</v>
      </c>
      <c r="D20" s="372"/>
      <c r="E20" s="373"/>
      <c r="F20" s="115">
        <f t="shared" si="2"/>
        <v>0</v>
      </c>
      <c r="G20" s="373"/>
      <c r="H20" s="115"/>
    </row>
    <row r="21" spans="3:8" ht="30" customHeight="1" thickTop="1" thickBot="1" x14ac:dyDescent="0.4">
      <c r="C21" s="89" t="s">
        <v>457</v>
      </c>
      <c r="D21" s="90" t="s">
        <v>1422</v>
      </c>
      <c r="E21" s="698">
        <f>IF(ISERROR(SUM(E22:E30)),"",SUM(E22:E30))</f>
        <v>3062918878.1999998</v>
      </c>
      <c r="F21" s="676"/>
      <c r="G21" s="698">
        <f>IF(ISERROR(SUM(G22:G30)),"",SUM(G22:G30))</f>
        <v>0</v>
      </c>
      <c r="H21" s="676"/>
    </row>
    <row r="22" spans="3:8" ht="30" customHeight="1" thickTop="1" thickBot="1" x14ac:dyDescent="0.4">
      <c r="C22" s="114" t="s">
        <v>459</v>
      </c>
      <c r="D22" s="372" t="s">
        <v>1097</v>
      </c>
      <c r="E22" s="373">
        <f>-Balancete!F314</f>
        <v>600000</v>
      </c>
      <c r="F22" s="115">
        <f>IF(ISERROR(E22/$E$21),"",E22/$E$21)</f>
        <v>1.9589157397227735E-4</v>
      </c>
      <c r="G22" s="373">
        <f>-Balancete!G314</f>
        <v>0</v>
      </c>
      <c r="H22" s="115"/>
    </row>
    <row r="23" spans="3:8" ht="30" customHeight="1" thickTop="1" thickBot="1" x14ac:dyDescent="0.4">
      <c r="C23" s="114" t="s">
        <v>462</v>
      </c>
      <c r="D23" s="372" t="s">
        <v>1102</v>
      </c>
      <c r="E23" s="373">
        <f>-Balancete!F319</f>
        <v>0</v>
      </c>
      <c r="F23" s="115">
        <f t="shared" ref="F23:F30" si="3">IF(ISERROR(E23/$E$21),"",E23/$E$21)</f>
        <v>0</v>
      </c>
      <c r="G23" s="373">
        <f>-Balancete!G319</f>
        <v>0</v>
      </c>
      <c r="H23" s="115"/>
    </row>
    <row r="24" spans="3:8" ht="30" customHeight="1" thickTop="1" thickBot="1" x14ac:dyDescent="0.4">
      <c r="C24" s="114" t="s">
        <v>465</v>
      </c>
      <c r="D24" s="372" t="s">
        <v>1103</v>
      </c>
      <c r="E24" s="373">
        <f>-Balancete!F320</f>
        <v>3062318878.1999998</v>
      </c>
      <c r="F24" s="115">
        <f t="shared" si="3"/>
        <v>0.99980410842602774</v>
      </c>
      <c r="G24" s="373">
        <f>-Balancete!G320</f>
        <v>0</v>
      </c>
      <c r="H24" s="115"/>
    </row>
    <row r="25" spans="3:8" ht="30" customHeight="1" thickTop="1" thickBot="1" x14ac:dyDescent="0.4">
      <c r="C25" s="114" t="s">
        <v>468</v>
      </c>
      <c r="D25" s="372" t="s">
        <v>1423</v>
      </c>
      <c r="E25" s="373">
        <f>-Balancete!F321</f>
        <v>0</v>
      </c>
      <c r="F25" s="115">
        <f t="shared" si="3"/>
        <v>0</v>
      </c>
      <c r="G25" s="373">
        <f>-Balancete!G321</f>
        <v>0</v>
      </c>
      <c r="H25" s="115"/>
    </row>
    <row r="26" spans="3:8" ht="30" customHeight="1" thickTop="1" thickBot="1" x14ac:dyDescent="0.4">
      <c r="C26" s="114" t="s">
        <v>471</v>
      </c>
      <c r="D26" s="372" t="s">
        <v>1106</v>
      </c>
      <c r="E26" s="373">
        <f>-Balancete!F322</f>
        <v>0</v>
      </c>
      <c r="F26" s="115">
        <f t="shared" si="3"/>
        <v>0</v>
      </c>
      <c r="G26" s="373">
        <f>-Balancete!G322</f>
        <v>0</v>
      </c>
      <c r="H26" s="115"/>
    </row>
    <row r="27" spans="3:8" ht="30" customHeight="1" thickTop="1" thickBot="1" x14ac:dyDescent="0.4">
      <c r="C27" s="114" t="s">
        <v>474</v>
      </c>
      <c r="D27" s="372" t="s">
        <v>1108</v>
      </c>
      <c r="E27" s="373">
        <f>-Balancete!F323</f>
        <v>0</v>
      </c>
      <c r="F27" s="115">
        <f t="shared" si="3"/>
        <v>0</v>
      </c>
      <c r="G27" s="373">
        <f>-Balancete!G323</f>
        <v>0</v>
      </c>
      <c r="H27" s="115"/>
    </row>
    <row r="28" spans="3:8" ht="30" customHeight="1" thickTop="1" thickBot="1" x14ac:dyDescent="0.4">
      <c r="C28" s="114" t="s">
        <v>477</v>
      </c>
      <c r="D28" s="372"/>
      <c r="E28" s="373"/>
      <c r="F28" s="115">
        <f t="shared" si="3"/>
        <v>0</v>
      </c>
      <c r="G28" s="376"/>
      <c r="H28" s="115"/>
    </row>
    <row r="29" spans="3:8" ht="30" customHeight="1" thickTop="1" thickBot="1" x14ac:dyDescent="0.4">
      <c r="C29" s="114" t="s">
        <v>1424</v>
      </c>
      <c r="D29" s="372"/>
      <c r="E29" s="373"/>
      <c r="F29" s="115">
        <f t="shared" si="3"/>
        <v>0</v>
      </c>
      <c r="G29" s="376"/>
      <c r="H29" s="115"/>
    </row>
    <row r="30" spans="3:8" ht="30" customHeight="1" thickTop="1" thickBot="1" x14ac:dyDescent="0.4">
      <c r="C30" s="114" t="s">
        <v>1425</v>
      </c>
      <c r="D30" s="372"/>
      <c r="E30" s="373"/>
      <c r="F30" s="115">
        <f t="shared" si="3"/>
        <v>0</v>
      </c>
      <c r="G30" s="376"/>
      <c r="H30" s="115"/>
    </row>
    <row r="31" spans="3:8" ht="30" customHeight="1" thickTop="1" thickBot="1" x14ac:dyDescent="0.4">
      <c r="C31" s="89" t="s">
        <v>480</v>
      </c>
      <c r="D31" s="90" t="s">
        <v>1426</v>
      </c>
      <c r="E31" s="698">
        <f>IF(ISERROR(SUM(E32:E35)),"",SUM(E32:E35))</f>
        <v>0</v>
      </c>
      <c r="F31" s="676"/>
      <c r="G31" s="698">
        <f>IF(ISERROR(SUM(G32:G35)),"",SUM(G32:G35))</f>
        <v>0</v>
      </c>
      <c r="H31" s="676"/>
    </row>
    <row r="32" spans="3:8" ht="30" customHeight="1" thickTop="1" thickBot="1" x14ac:dyDescent="0.4">
      <c r="C32" s="114" t="s">
        <v>482</v>
      </c>
      <c r="D32" s="372" t="s">
        <v>871</v>
      </c>
      <c r="E32" s="373">
        <f>-Balancete!F325</f>
        <v>0</v>
      </c>
      <c r="F32" s="115" t="str">
        <f>IF(ISERROR(E32/$E$31),"",E32/$E$31)</f>
        <v/>
      </c>
      <c r="G32" s="373">
        <f>-Balancete!G325</f>
        <v>0</v>
      </c>
      <c r="H32" s="115"/>
    </row>
    <row r="33" spans="3:8" ht="30" customHeight="1" thickTop="1" thickBot="1" x14ac:dyDescent="0.4">
      <c r="C33" s="114" t="s">
        <v>485</v>
      </c>
      <c r="D33" s="372" t="s">
        <v>874</v>
      </c>
      <c r="E33" s="373">
        <f>-Balancete!F326</f>
        <v>0</v>
      </c>
      <c r="F33" s="115" t="str">
        <f>IF(ISERROR(E33/$E$31),"",E33/$E$31)</f>
        <v/>
      </c>
      <c r="G33" s="373">
        <f>-Balancete!G326</f>
        <v>0</v>
      </c>
      <c r="H33" s="115"/>
    </row>
    <row r="34" spans="3:8" ht="30" customHeight="1" thickTop="1" thickBot="1" x14ac:dyDescent="0.4">
      <c r="C34" s="114" t="s">
        <v>487</v>
      </c>
      <c r="D34" s="372" t="s">
        <v>876</v>
      </c>
      <c r="E34" s="373">
        <f>-Balancete!F327</f>
        <v>0</v>
      </c>
      <c r="F34" s="115" t="str">
        <f>IF(ISERROR(E34/$E$31),"",E34/$E$31)</f>
        <v/>
      </c>
      <c r="G34" s="373">
        <f>-Balancete!G327</f>
        <v>0</v>
      </c>
      <c r="H34" s="115"/>
    </row>
    <row r="35" spans="3:8" ht="30" customHeight="1" thickTop="1" thickBot="1" x14ac:dyDescent="0.4">
      <c r="C35" s="114" t="s">
        <v>490</v>
      </c>
      <c r="D35" s="372"/>
      <c r="E35" s="373"/>
      <c r="F35" s="115" t="str">
        <f>IF(ISERROR(E35/$E$31),"",E35/$E$31)</f>
        <v/>
      </c>
      <c r="G35" s="376"/>
      <c r="H35" s="115"/>
    </row>
    <row r="36" spans="3:8" ht="30" customHeight="1" thickTop="1" thickBot="1" x14ac:dyDescent="0.4">
      <c r="C36" s="89" t="s">
        <v>492</v>
      </c>
      <c r="D36" s="90" t="s">
        <v>1427</v>
      </c>
      <c r="E36" s="698">
        <f>IF(ISERROR(SUM(E37:E39)),"",SUM(E37:E39))</f>
        <v>0</v>
      </c>
      <c r="F36" s="676"/>
      <c r="G36" s="698">
        <f>IF(ISERROR(SUM(G37:G39)),"",SUM(G37:G39))</f>
        <v>0</v>
      </c>
      <c r="H36" s="676"/>
    </row>
    <row r="37" spans="3:8" ht="30" customHeight="1" thickTop="1" thickBot="1" x14ac:dyDescent="0.4">
      <c r="C37" s="114" t="s">
        <v>494</v>
      </c>
      <c r="D37" s="372" t="s">
        <v>1110</v>
      </c>
      <c r="E37" s="373">
        <f>-Balancete!F329</f>
        <v>0</v>
      </c>
      <c r="F37" s="115" t="str">
        <f>IF(ISERROR(E37/$E$36),"",E37/$E$36)</f>
        <v/>
      </c>
      <c r="G37" s="373">
        <f>-Balancete!G329</f>
        <v>0</v>
      </c>
      <c r="H37" s="115"/>
    </row>
    <row r="38" spans="3:8" ht="30" customHeight="1" thickTop="1" thickBot="1" x14ac:dyDescent="0.4">
      <c r="C38" s="114" t="s">
        <v>497</v>
      </c>
      <c r="D38" s="372" t="s">
        <v>1428</v>
      </c>
      <c r="E38" s="373">
        <f>-Balancete!F334</f>
        <v>0</v>
      </c>
      <c r="F38" s="115" t="str">
        <f>IF(ISERROR(E38/$E$36),"",E38/$E$36)</f>
        <v/>
      </c>
      <c r="G38" s="373">
        <f>-Balancete!G334</f>
        <v>0</v>
      </c>
      <c r="H38" s="115"/>
    </row>
    <row r="39" spans="3:8" ht="30" customHeight="1" thickTop="1" thickBot="1" x14ac:dyDescent="0.4">
      <c r="C39" s="114" t="s">
        <v>1429</v>
      </c>
      <c r="D39" s="372"/>
      <c r="E39" s="373"/>
      <c r="F39" s="115" t="str">
        <f>IF(ISERROR(E39/$E$36),"",E39/$E$36)</f>
        <v/>
      </c>
      <c r="G39" s="376"/>
      <c r="H39" s="115"/>
    </row>
    <row r="40" spans="3:8" ht="30" customHeight="1" thickTop="1" thickBot="1" x14ac:dyDescent="0.4">
      <c r="C40" s="89" t="s">
        <v>500</v>
      </c>
      <c r="D40" s="90" t="s">
        <v>1430</v>
      </c>
      <c r="E40" s="698">
        <f>IF(ISERROR(SUM(E41:E48)),"",SUM(E41:E48))</f>
        <v>10089891.130000001</v>
      </c>
      <c r="F40" s="676"/>
      <c r="G40" s="698">
        <f>IF(ISERROR(SUM(G41:G48)),"",SUM(G41:G48))</f>
        <v>0</v>
      </c>
      <c r="H40" s="676"/>
    </row>
    <row r="41" spans="3:8" ht="30" customHeight="1" thickTop="1" thickBot="1" x14ac:dyDescent="0.4">
      <c r="C41" s="114" t="s">
        <v>502</v>
      </c>
      <c r="D41" s="372" t="s">
        <v>981</v>
      </c>
      <c r="E41" s="373">
        <f>-Balancete!F336</f>
        <v>168000</v>
      </c>
      <c r="F41" s="115">
        <f t="shared" ref="F41:F48" si="4">IF(ISERROR(E41/$E$40),"",E41/$E$40)</f>
        <v>1.6650328317268967E-2</v>
      </c>
      <c r="G41" s="373">
        <f>-Balancete!G336</f>
        <v>0</v>
      </c>
      <c r="H41" s="115"/>
    </row>
    <row r="42" spans="3:8" ht="30" customHeight="1" thickTop="1" thickBot="1" x14ac:dyDescent="0.4">
      <c r="C42" s="114" t="s">
        <v>525</v>
      </c>
      <c r="D42" s="372" t="s">
        <v>1431</v>
      </c>
      <c r="E42" s="373">
        <f>-Balancete!F341</f>
        <v>9921891.1300000008</v>
      </c>
      <c r="F42" s="115">
        <f t="shared" si="4"/>
        <v>0.98334967168273102</v>
      </c>
      <c r="G42" s="373">
        <f>-Balancete!G341</f>
        <v>0</v>
      </c>
      <c r="H42" s="115"/>
    </row>
    <row r="43" spans="3:8" ht="30" customHeight="1" thickTop="1" thickBot="1" x14ac:dyDescent="0.4">
      <c r="C43" s="114" t="s">
        <v>1432</v>
      </c>
      <c r="D43" s="372" t="s">
        <v>1123</v>
      </c>
      <c r="E43" s="373">
        <f>-Balancete!F342</f>
        <v>0</v>
      </c>
      <c r="F43" s="115">
        <f t="shared" si="4"/>
        <v>0</v>
      </c>
      <c r="G43" s="373">
        <f>-Balancete!G342</f>
        <v>0</v>
      </c>
      <c r="H43" s="115"/>
    </row>
    <row r="44" spans="3:8" ht="30" customHeight="1" thickTop="1" thickBot="1" x14ac:dyDescent="0.4">
      <c r="C44" s="114" t="s">
        <v>1433</v>
      </c>
      <c r="D44" s="372" t="s">
        <v>1125</v>
      </c>
      <c r="E44" s="373">
        <f>-Balancete!F343</f>
        <v>0</v>
      </c>
      <c r="F44" s="115">
        <f t="shared" si="4"/>
        <v>0</v>
      </c>
      <c r="G44" s="373">
        <f>-Balancete!G343</f>
        <v>0</v>
      </c>
      <c r="H44" s="115"/>
    </row>
    <row r="45" spans="3:8" ht="30" customHeight="1" thickTop="1" thickBot="1" x14ac:dyDescent="0.4">
      <c r="C45" s="114" t="s">
        <v>1434</v>
      </c>
      <c r="D45" s="372" t="s">
        <v>1126</v>
      </c>
      <c r="E45" s="373">
        <f>-Balancete!F344</f>
        <v>0</v>
      </c>
      <c r="F45" s="115">
        <f t="shared" si="4"/>
        <v>0</v>
      </c>
      <c r="G45" s="373">
        <f>-Balancete!G344</f>
        <v>0</v>
      </c>
      <c r="H45" s="115"/>
    </row>
    <row r="46" spans="3:8" ht="30" customHeight="1" thickTop="1" thickBot="1" x14ac:dyDescent="0.4">
      <c r="C46" s="114" t="s">
        <v>1435</v>
      </c>
      <c r="D46" s="372" t="s">
        <v>1130</v>
      </c>
      <c r="E46" s="373">
        <f>-Balancete!F348</f>
        <v>0</v>
      </c>
      <c r="F46" s="115">
        <f t="shared" si="4"/>
        <v>0</v>
      </c>
      <c r="G46" s="373">
        <f>-Balancete!G348</f>
        <v>0</v>
      </c>
      <c r="H46" s="115"/>
    </row>
    <row r="47" spans="3:8" ht="30" customHeight="1" thickTop="1" thickBot="1" x14ac:dyDescent="0.4">
      <c r="C47" s="114" t="s">
        <v>1436</v>
      </c>
      <c r="D47" s="372" t="s">
        <v>1132</v>
      </c>
      <c r="E47" s="373">
        <f>-Balancete!F351</f>
        <v>0</v>
      </c>
      <c r="F47" s="115">
        <f t="shared" si="4"/>
        <v>0</v>
      </c>
      <c r="G47" s="373">
        <f>-Balancete!G351</f>
        <v>0</v>
      </c>
      <c r="H47" s="115"/>
    </row>
    <row r="48" spans="3:8" ht="30" customHeight="1" thickTop="1" thickBot="1" x14ac:dyDescent="0.4">
      <c r="C48" s="114" t="s">
        <v>1437</v>
      </c>
      <c r="D48" s="372"/>
      <c r="E48" s="373"/>
      <c r="F48" s="115">
        <f t="shared" si="4"/>
        <v>0</v>
      </c>
      <c r="G48" s="376"/>
      <c r="H48" s="115"/>
    </row>
    <row r="49" spans="3:10" ht="30" customHeight="1" thickTop="1" thickBot="1" x14ac:dyDescent="0.4">
      <c r="C49" s="89" t="s">
        <v>532</v>
      </c>
      <c r="D49" s="90" t="s">
        <v>1438</v>
      </c>
      <c r="E49" s="698">
        <f>IF(ISERROR(SUM(E50:E52)),"",SUM(E50:E52))</f>
        <v>0</v>
      </c>
      <c r="F49" s="676"/>
      <c r="G49" s="698">
        <f>IF(ISERROR(SUM(G50:G52)),"",SUM(G50:G52))</f>
        <v>0</v>
      </c>
      <c r="H49" s="676"/>
    </row>
    <row r="50" spans="3:10" ht="30" customHeight="1" thickTop="1" thickBot="1" x14ac:dyDescent="0.4">
      <c r="C50" s="114" t="s">
        <v>534</v>
      </c>
      <c r="D50" s="372" t="s">
        <v>1135</v>
      </c>
      <c r="E50" s="373">
        <f>-Balancete!F355</f>
        <v>0</v>
      </c>
      <c r="F50" s="115" t="str">
        <f>IF(ISERROR(E50/$E$49),"",E50/$E$49)</f>
        <v/>
      </c>
      <c r="G50" s="373">
        <f>-Balancete!G355</f>
        <v>0</v>
      </c>
      <c r="H50" s="115"/>
    </row>
    <row r="51" spans="3:10" ht="30" customHeight="1" thickTop="1" thickBot="1" x14ac:dyDescent="0.4">
      <c r="C51" s="114" t="s">
        <v>537</v>
      </c>
      <c r="D51" s="372"/>
      <c r="E51" s="373"/>
      <c r="F51" s="115" t="str">
        <f>IF(ISERROR(E51/$E$49),"",E51/$E$49)</f>
        <v/>
      </c>
      <c r="G51" s="376"/>
      <c r="H51" s="115"/>
    </row>
    <row r="52" spans="3:10" ht="30" customHeight="1" thickTop="1" thickBot="1" x14ac:dyDescent="0.4">
      <c r="C52" s="114" t="s">
        <v>540</v>
      </c>
      <c r="D52" s="372"/>
      <c r="E52" s="373"/>
      <c r="F52" s="115" t="str">
        <f>IF(ISERROR(E52/$E$49),"",E52/$E$49)</f>
        <v/>
      </c>
      <c r="G52" s="376"/>
      <c r="H52" s="115"/>
    </row>
    <row r="53" spans="3:10" ht="30" customHeight="1" thickTop="1" thickBot="1" x14ac:dyDescent="0.4">
      <c r="C53" s="89" t="s">
        <v>566</v>
      </c>
      <c r="D53" s="90" t="s">
        <v>1439</v>
      </c>
      <c r="E53" s="698">
        <f>IF(ISERROR(SUM(E54:E64)),"",SUM(E54:E64))</f>
        <v>25000000</v>
      </c>
      <c r="F53" s="676"/>
      <c r="G53" s="698">
        <f>IF(ISERROR(SUM(G54:G64)),"",SUM(G54:G64))</f>
        <v>0</v>
      </c>
      <c r="H53" s="676"/>
      <c r="J53" s="61"/>
    </row>
    <row r="54" spans="3:10" ht="30" customHeight="1" thickTop="1" thickBot="1" x14ac:dyDescent="0.4">
      <c r="C54" s="114" t="s">
        <v>568</v>
      </c>
      <c r="D54" s="372" t="s">
        <v>1132</v>
      </c>
      <c r="E54" s="373">
        <f>-Balancete!F357</f>
        <v>0</v>
      </c>
      <c r="F54" s="115">
        <f>IF(ISERROR(E54/$E$53),"",E54/$E$53)</f>
        <v>0</v>
      </c>
      <c r="G54" s="373">
        <f>-Balancete!G357</f>
        <v>0</v>
      </c>
      <c r="H54" s="115"/>
      <c r="J54" s="61"/>
    </row>
    <row r="55" spans="3:10" ht="30" customHeight="1" thickTop="1" thickBot="1" x14ac:dyDescent="0.4">
      <c r="C55" s="114" t="s">
        <v>571</v>
      </c>
      <c r="D55" s="372" t="s">
        <v>1440</v>
      </c>
      <c r="E55" s="373">
        <f>-Balancete!F361</f>
        <v>0</v>
      </c>
      <c r="F55" s="115">
        <f t="shared" ref="F55:F64" si="5">IF(ISERROR(E55/$E$53),"",E55/$E$53)</f>
        <v>0</v>
      </c>
      <c r="G55" s="373">
        <f>-Balancete!G361</f>
        <v>0</v>
      </c>
      <c r="H55" s="115"/>
      <c r="J55" s="61"/>
    </row>
    <row r="56" spans="3:10" ht="30" customHeight="1" thickTop="1" thickBot="1" x14ac:dyDescent="0.4">
      <c r="C56" s="114" t="s">
        <v>574</v>
      </c>
      <c r="D56" s="372" t="s">
        <v>1140</v>
      </c>
      <c r="E56" s="373">
        <f>-Balancete!F362</f>
        <v>25000000</v>
      </c>
      <c r="F56" s="115">
        <f t="shared" si="5"/>
        <v>1</v>
      </c>
      <c r="G56" s="373">
        <f>-Balancete!G362</f>
        <v>0</v>
      </c>
      <c r="H56" s="115"/>
      <c r="J56" s="61"/>
    </row>
    <row r="57" spans="3:10" ht="30" customHeight="1" thickTop="1" thickBot="1" x14ac:dyDescent="0.4">
      <c r="C57" s="114" t="s">
        <v>577</v>
      </c>
      <c r="D57" s="372" t="s">
        <v>1141</v>
      </c>
      <c r="E57" s="373">
        <f>-Balancete!F363</f>
        <v>0</v>
      </c>
      <c r="F57" s="115">
        <f t="shared" si="5"/>
        <v>0</v>
      </c>
      <c r="G57" s="373">
        <f>-Balancete!G363</f>
        <v>0</v>
      </c>
      <c r="H57" s="115"/>
    </row>
    <row r="58" spans="3:10" ht="30" customHeight="1" thickTop="1" thickBot="1" x14ac:dyDescent="0.4">
      <c r="C58" s="114" t="s">
        <v>580</v>
      </c>
      <c r="D58" s="372" t="s">
        <v>1142</v>
      </c>
      <c r="E58" s="373">
        <f>-Balancete!F364</f>
        <v>0</v>
      </c>
      <c r="F58" s="115">
        <f t="shared" si="5"/>
        <v>0</v>
      </c>
      <c r="G58" s="373">
        <f>-Balancete!G364</f>
        <v>0</v>
      </c>
      <c r="H58" s="115"/>
    </row>
    <row r="59" spans="3:10" ht="30" customHeight="1" thickTop="1" thickBot="1" x14ac:dyDescent="0.4">
      <c r="C59" s="114" t="s">
        <v>583</v>
      </c>
      <c r="D59" s="372" t="s">
        <v>1143</v>
      </c>
      <c r="E59" s="373">
        <f>-Balancete!F365</f>
        <v>0</v>
      </c>
      <c r="F59" s="115">
        <f t="shared" si="5"/>
        <v>0</v>
      </c>
      <c r="G59" s="373">
        <f>-Balancete!G365</f>
        <v>0</v>
      </c>
      <c r="H59" s="115"/>
    </row>
    <row r="60" spans="3:10" ht="30" customHeight="1" thickTop="1" thickBot="1" x14ac:dyDescent="0.4">
      <c r="C60" s="114" t="s">
        <v>586</v>
      </c>
      <c r="D60" s="372" t="s">
        <v>1144</v>
      </c>
      <c r="E60" s="373">
        <f>-Balancete!F366</f>
        <v>0</v>
      </c>
      <c r="F60" s="115">
        <f t="shared" si="5"/>
        <v>0</v>
      </c>
      <c r="G60" s="373">
        <f>-Balancete!G366</f>
        <v>0</v>
      </c>
      <c r="H60" s="115"/>
    </row>
    <row r="61" spans="3:10" ht="30" customHeight="1" thickTop="1" thickBot="1" x14ac:dyDescent="0.4">
      <c r="C61" s="114" t="s">
        <v>1441</v>
      </c>
      <c r="D61" s="372" t="s">
        <v>1145</v>
      </c>
      <c r="E61" s="373">
        <f>-Balancete!F367</f>
        <v>0</v>
      </c>
      <c r="F61" s="115">
        <f t="shared" si="5"/>
        <v>0</v>
      </c>
      <c r="G61" s="373">
        <f>-Balancete!G367</f>
        <v>0</v>
      </c>
      <c r="H61" s="115"/>
    </row>
    <row r="62" spans="3:10" ht="30" customHeight="1" thickTop="1" thickBot="1" x14ac:dyDescent="0.4">
      <c r="C62" s="114" t="s">
        <v>1442</v>
      </c>
      <c r="D62" s="372" t="s">
        <v>1443</v>
      </c>
      <c r="E62" s="373">
        <f>-Balancete!F368</f>
        <v>0</v>
      </c>
      <c r="F62" s="115">
        <f t="shared" si="5"/>
        <v>0</v>
      </c>
      <c r="G62" s="373">
        <f>-Balancete!G368</f>
        <v>0</v>
      </c>
      <c r="H62" s="115"/>
    </row>
    <row r="63" spans="3:10" ht="30" customHeight="1" thickTop="1" thickBot="1" x14ac:dyDescent="0.4">
      <c r="C63" s="114" t="s">
        <v>1444</v>
      </c>
      <c r="D63" s="372" t="s">
        <v>1147</v>
      </c>
      <c r="E63" s="373">
        <f>-Balancete!F369</f>
        <v>0</v>
      </c>
      <c r="F63" s="115">
        <f t="shared" si="5"/>
        <v>0</v>
      </c>
      <c r="G63" s="373">
        <f>-Balancete!G369</f>
        <v>0</v>
      </c>
      <c r="H63" s="115"/>
    </row>
    <row r="64" spans="3:10" ht="30" customHeight="1" thickTop="1" thickBot="1" x14ac:dyDescent="0.4">
      <c r="C64" s="114" t="s">
        <v>1445</v>
      </c>
      <c r="D64" s="372"/>
      <c r="E64" s="373"/>
      <c r="F64" s="115">
        <f t="shared" si="5"/>
        <v>0</v>
      </c>
      <c r="G64" s="376"/>
      <c r="H64" s="115"/>
    </row>
    <row r="65" spans="3:8" ht="30" customHeight="1" thickTop="1" thickBot="1" x14ac:dyDescent="0.4">
      <c r="C65" s="89" t="s">
        <v>1446</v>
      </c>
      <c r="D65" s="90" t="s">
        <v>1447</v>
      </c>
      <c r="E65" s="698">
        <f>IF(ISERROR(SUM(E66:E72)),"",SUM(E66:E72))</f>
        <v>0</v>
      </c>
      <c r="F65" s="676"/>
      <c r="G65" s="698">
        <f>IF(ISERROR(SUM(G66:G72)),"",SUM(G66:G72))</f>
        <v>0</v>
      </c>
      <c r="H65" s="676"/>
    </row>
    <row r="66" spans="3:8" ht="30" customHeight="1" thickTop="1" thickBot="1" x14ac:dyDescent="0.4">
      <c r="C66" s="114" t="s">
        <v>1448</v>
      </c>
      <c r="D66" s="372" t="s">
        <v>1148</v>
      </c>
      <c r="E66" s="373">
        <f>-Balancete!F371</f>
        <v>0</v>
      </c>
      <c r="F66" s="115" t="str">
        <f t="shared" ref="F66:F72" si="6">IF(ISERROR(E66/$E$65),"",E66/$E$65)</f>
        <v/>
      </c>
      <c r="G66" s="373">
        <f>-Balancete!G371</f>
        <v>0</v>
      </c>
      <c r="H66" s="115"/>
    </row>
    <row r="67" spans="3:8" ht="30" customHeight="1" thickTop="1" thickBot="1" x14ac:dyDescent="0.4">
      <c r="C67" s="114" t="s">
        <v>1449</v>
      </c>
      <c r="D67" s="372" t="s">
        <v>1149</v>
      </c>
      <c r="E67" s="373">
        <f>-Balancete!F372</f>
        <v>0</v>
      </c>
      <c r="F67" s="115" t="str">
        <f t="shared" si="6"/>
        <v/>
      </c>
      <c r="G67" s="373">
        <f>-Balancete!G372</f>
        <v>0</v>
      </c>
      <c r="H67" s="115"/>
    </row>
    <row r="68" spans="3:8" ht="30" customHeight="1" thickTop="1" thickBot="1" x14ac:dyDescent="0.4">
      <c r="C68" s="114" t="s">
        <v>1450</v>
      </c>
      <c r="D68" s="372" t="s">
        <v>1150</v>
      </c>
      <c r="E68" s="373">
        <f>-Balancete!F373</f>
        <v>0</v>
      </c>
      <c r="F68" s="115" t="str">
        <f t="shared" si="6"/>
        <v/>
      </c>
      <c r="G68" s="373">
        <f>-Balancete!G373</f>
        <v>0</v>
      </c>
      <c r="H68" s="115"/>
    </row>
    <row r="69" spans="3:8" ht="30" customHeight="1" thickTop="1" thickBot="1" x14ac:dyDescent="0.4">
      <c r="C69" s="114" t="s">
        <v>1451</v>
      </c>
      <c r="D69" s="372" t="s">
        <v>1151</v>
      </c>
      <c r="E69" s="373">
        <f>-Balancete!F374</f>
        <v>0</v>
      </c>
      <c r="F69" s="115" t="str">
        <f t="shared" si="6"/>
        <v/>
      </c>
      <c r="G69" s="373">
        <f>-Balancete!G374</f>
        <v>0</v>
      </c>
      <c r="H69" s="115"/>
    </row>
    <row r="70" spans="3:8" ht="30" customHeight="1" thickTop="1" thickBot="1" x14ac:dyDescent="0.4">
      <c r="C70" s="114" t="s">
        <v>1452</v>
      </c>
      <c r="D70" s="372" t="s">
        <v>1152</v>
      </c>
      <c r="E70" s="373">
        <f>-Balancete!F375</f>
        <v>0</v>
      </c>
      <c r="F70" s="115" t="str">
        <f t="shared" si="6"/>
        <v/>
      </c>
      <c r="G70" s="373">
        <f>-Balancete!G375</f>
        <v>0</v>
      </c>
      <c r="H70" s="115"/>
    </row>
    <row r="71" spans="3:8" ht="30" customHeight="1" thickTop="1" thickBot="1" x14ac:dyDescent="0.4">
      <c r="C71" s="114" t="s">
        <v>1453</v>
      </c>
      <c r="D71" s="372" t="s">
        <v>1153</v>
      </c>
      <c r="E71" s="373">
        <f>-Balancete!F376</f>
        <v>0</v>
      </c>
      <c r="F71" s="115" t="str">
        <f t="shared" si="6"/>
        <v/>
      </c>
      <c r="G71" s="373">
        <f>-Balancete!G376</f>
        <v>0</v>
      </c>
      <c r="H71" s="115"/>
    </row>
    <row r="72" spans="3:8" ht="30" customHeight="1" thickTop="1" thickBot="1" x14ac:dyDescent="0.4">
      <c r="C72" s="114" t="s">
        <v>1454</v>
      </c>
      <c r="D72" s="372"/>
      <c r="E72" s="373"/>
      <c r="F72" s="115" t="str">
        <f t="shared" si="6"/>
        <v/>
      </c>
      <c r="G72" s="376"/>
      <c r="H72" s="115"/>
    </row>
    <row r="73" spans="3:8" ht="33.75" customHeight="1" thickTop="1" thickBot="1" x14ac:dyDescent="0.4">
      <c r="C73" s="89"/>
      <c r="D73" s="90"/>
      <c r="E73" s="698"/>
      <c r="F73" s="676"/>
      <c r="G73" s="283"/>
      <c r="H73" s="283"/>
    </row>
    <row r="74" spans="3:8" ht="15" thickTop="1" x14ac:dyDescent="0.35"/>
  </sheetData>
  <mergeCells count="32">
    <mergeCell ref="G5:H5"/>
    <mergeCell ref="G4:H4"/>
    <mergeCell ref="N4:O4"/>
    <mergeCell ref="N16:O16"/>
    <mergeCell ref="N15:O15"/>
    <mergeCell ref="N3:O3"/>
    <mergeCell ref="L3:M3"/>
    <mergeCell ref="K4:M4"/>
    <mergeCell ref="J15:M15"/>
    <mergeCell ref="J16:K16"/>
    <mergeCell ref="L16:M16"/>
    <mergeCell ref="G21:H21"/>
    <mergeCell ref="G15:H15"/>
    <mergeCell ref="G40:H40"/>
    <mergeCell ref="E73:F73"/>
    <mergeCell ref="G3:H3"/>
    <mergeCell ref="E3:F3"/>
    <mergeCell ref="E53:F53"/>
    <mergeCell ref="E65:F65"/>
    <mergeCell ref="E4:F4"/>
    <mergeCell ref="E21:F21"/>
    <mergeCell ref="E31:F31"/>
    <mergeCell ref="E36:F36"/>
    <mergeCell ref="E40:F40"/>
    <mergeCell ref="E49:F49"/>
    <mergeCell ref="E5:F5"/>
    <mergeCell ref="E15:F15"/>
    <mergeCell ref="G53:H53"/>
    <mergeCell ref="G65:H65"/>
    <mergeCell ref="G49:H49"/>
    <mergeCell ref="G36:H36"/>
    <mergeCell ref="G31:H31"/>
  </mergeCells>
  <phoneticPr fontId="24" type="noConversion"/>
  <pageMargins left="0.511811024" right="0.511811024" top="0.78740157499999996" bottom="0.78740157499999996" header="0.31496062000000002" footer="0.31496062000000002"/>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ilha8"/>
  <dimension ref="A1:V94"/>
  <sheetViews>
    <sheetView showGridLines="0" zoomScaleNormal="100" workbookViewId="0">
      <pane ySplit="3" topLeftCell="A4" activePane="bottomLeft" state="frozen"/>
      <selection pane="bottomLeft" activeCell="J18" sqref="J18"/>
    </sheetView>
  </sheetViews>
  <sheetFormatPr defaultColWidth="0" defaultRowHeight="0" customHeight="1" zeroHeight="1" x14ac:dyDescent="0.35"/>
  <cols>
    <col min="1" max="2" width="1.6328125" customWidth="1"/>
    <col min="3" max="3" width="14.90625" customWidth="1"/>
    <col min="4" max="4" width="75.90625" customWidth="1"/>
    <col min="5" max="5" width="27.1796875" bestFit="1" customWidth="1"/>
    <col min="6" max="6" width="18.7265625" customWidth="1"/>
    <col min="7" max="7" width="22.90625" customWidth="1"/>
    <col min="8" max="8" width="14.54296875" customWidth="1"/>
    <col min="9" max="9" width="7.81640625" customWidth="1"/>
    <col min="10" max="10" width="14.90625" customWidth="1"/>
    <col min="11" max="11" width="66.81640625" customWidth="1"/>
    <col min="12" max="12" width="27.81640625" bestFit="1" customWidth="1"/>
    <col min="13" max="13" width="18.7265625" customWidth="1"/>
    <col min="14" max="14" width="26.453125" customWidth="1"/>
    <col min="15" max="15" width="16.90625" customWidth="1"/>
    <col min="16" max="16" width="20.7265625" customWidth="1"/>
    <col min="17" max="22" width="0" hidden="1" customWidth="1"/>
    <col min="23" max="16384" width="9.1796875" hidden="1"/>
  </cols>
  <sheetData>
    <row r="1" spans="2:15" s="10" customFormat="1" ht="26.5" customHeight="1" x14ac:dyDescent="0.55000000000000004">
      <c r="B1" s="57"/>
      <c r="C1" s="57"/>
    </row>
    <row r="2" spans="2:15" s="10" customFormat="1" ht="24" customHeight="1" x14ac:dyDescent="0.35">
      <c r="B2" s="537" t="s">
        <v>1242</v>
      </c>
    </row>
    <row r="3" spans="2:15" ht="18.649999999999999" customHeight="1" thickBot="1" x14ac:dyDescent="0.4">
      <c r="E3" s="694" t="s">
        <v>1243</v>
      </c>
      <c r="F3" s="694"/>
      <c r="G3" s="696" t="s">
        <v>1244</v>
      </c>
      <c r="H3" s="696"/>
      <c r="L3" s="694" t="s">
        <v>1243</v>
      </c>
      <c r="M3" s="694"/>
      <c r="N3" s="694" t="s">
        <v>1244</v>
      </c>
      <c r="O3" s="694"/>
    </row>
    <row r="4" spans="2:15" ht="30" customHeight="1" thickTop="1" thickBot="1" x14ac:dyDescent="0.4">
      <c r="C4" s="88">
        <v>4</v>
      </c>
      <c r="D4" s="88" t="s">
        <v>1155</v>
      </c>
      <c r="E4" s="783">
        <f>IF(ISERROR($E$5+$E$15+$E$25+$E$35+$E$45+$E$55+$E$60+$E$73+$E$80),"",$E$5+$E$15+$E$25+$E$35+$E$45+$E$55+$E$60+$E$73+$E$80)</f>
        <v>6541421289.999999</v>
      </c>
      <c r="F4" s="784"/>
      <c r="G4" s="783">
        <f>IF(ISERROR($G$5+$G$15+$G$25+$G$35+$G$45+$G$55+$G$60+$G$73+$G$80),"",$G$5+$G$15+$G$25+$G$35+$G$45+$G$55+$G$60+$G$73+$G$80)</f>
        <v>0</v>
      </c>
      <c r="H4" s="784"/>
      <c r="J4" s="75">
        <v>4</v>
      </c>
      <c r="K4" s="649" t="s">
        <v>1455</v>
      </c>
      <c r="L4" s="650"/>
      <c r="M4" s="670"/>
      <c r="N4" s="649"/>
      <c r="O4" s="650"/>
    </row>
    <row r="5" spans="2:15" ht="30" customHeight="1" thickTop="1" thickBot="1" x14ac:dyDescent="0.4">
      <c r="C5" s="89" t="s">
        <v>590</v>
      </c>
      <c r="D5" s="90" t="s">
        <v>1456</v>
      </c>
      <c r="E5" s="698">
        <f>IF(ISERROR(SUM(E6:E14)),"",SUM(E6:E14))</f>
        <v>179684780.97</v>
      </c>
      <c r="F5" s="676"/>
      <c r="G5" s="698">
        <f>IF(ISERROR(SUM(G6:G14)),"",SUM(G6:G14))</f>
        <v>0</v>
      </c>
      <c r="H5" s="676"/>
      <c r="J5" s="76" t="str">
        <f>C5</f>
        <v>4.1</v>
      </c>
      <c r="K5" s="82" t="str">
        <f>D5</f>
        <v>Custo das Mercadorias Vendidas e das Matérias-primas Consumidas</v>
      </c>
      <c r="L5" s="112">
        <f>IF(ISERROR($E$5),"",$E$5)</f>
        <v>179684780.97</v>
      </c>
      <c r="M5" s="87" t="str">
        <f>IF(ISERROR(L5/$N$5),"",L5/$N$5)</f>
        <v/>
      </c>
      <c r="N5" s="112">
        <f>IF(ISERROR($G$5),"",$G$5)</f>
        <v>0</v>
      </c>
      <c r="O5" s="68"/>
    </row>
    <row r="6" spans="2:15" ht="30" customHeight="1" thickTop="1" thickBot="1" x14ac:dyDescent="0.4">
      <c r="C6" s="114" t="s">
        <v>592</v>
      </c>
      <c r="D6" s="372" t="s">
        <v>864</v>
      </c>
      <c r="E6" s="373">
        <f>Balancete!F379</f>
        <v>179684780.97</v>
      </c>
      <c r="F6" s="115">
        <f>IF(ISERROR(E6/$E$5),"",E6/$E$5)</f>
        <v>1</v>
      </c>
      <c r="G6" s="373">
        <f>Balancete!G379</f>
        <v>0</v>
      </c>
      <c r="H6" s="115"/>
      <c r="J6" s="76" t="str">
        <f>C15</f>
        <v>4.2</v>
      </c>
      <c r="K6" s="82" t="str">
        <f>D15</f>
        <v>Custos com o Pessoal</v>
      </c>
      <c r="L6" s="112">
        <f>IF(ISERROR($E$15),"",$E$15)</f>
        <v>3317851310.2799997</v>
      </c>
      <c r="M6" s="87" t="str">
        <f t="shared" ref="M6:M13" si="0">IF(ISERROR(L6/$N$5),"",L6/$N$5)</f>
        <v/>
      </c>
      <c r="N6" s="112">
        <f>IF(ISERROR($G$15),"",$G$15)</f>
        <v>0</v>
      </c>
      <c r="O6" s="68"/>
    </row>
    <row r="7" spans="2:15" ht="30" customHeight="1" thickTop="1" thickBot="1" x14ac:dyDescent="0.4">
      <c r="C7" s="114" t="s">
        <v>595</v>
      </c>
      <c r="D7" s="372" t="s">
        <v>1160</v>
      </c>
      <c r="E7" s="373">
        <f>Balancete!F380</f>
        <v>0</v>
      </c>
      <c r="F7" s="115">
        <f>IF(ISERROR(E7/$E$5),"",E7/$E$5)</f>
        <v>0</v>
      </c>
      <c r="G7" s="373">
        <f>Balancete!G380</f>
        <v>0</v>
      </c>
      <c r="H7" s="115"/>
      <c r="J7" s="76" t="str">
        <f>C25</f>
        <v>4.3</v>
      </c>
      <c r="K7" s="82" t="str">
        <f>D25</f>
        <v>Amortizações do Exercício</v>
      </c>
      <c r="L7" s="112">
        <f>IF(ISERROR($E$25),"",$E$25)</f>
        <v>508397950.43000001</v>
      </c>
      <c r="M7" s="87" t="str">
        <f t="shared" si="0"/>
        <v/>
      </c>
      <c r="N7" s="112">
        <f>IF(ISERROR($G$25),"",$G$25)</f>
        <v>0</v>
      </c>
      <c r="O7" s="68"/>
    </row>
    <row r="8" spans="2:15" ht="30" customHeight="1" thickTop="1" thickBot="1" x14ac:dyDescent="0.4">
      <c r="C8" s="114" t="s">
        <v>598</v>
      </c>
      <c r="D8" s="372" t="s">
        <v>868</v>
      </c>
      <c r="E8" s="373">
        <f>Balancete!F381</f>
        <v>0</v>
      </c>
      <c r="F8" s="115">
        <f t="shared" ref="F8:F14" si="1">IF(ISERROR(E8/$E$5),"",E8/$E$5)</f>
        <v>0</v>
      </c>
      <c r="G8" s="373">
        <f>Balancete!G381</f>
        <v>0</v>
      </c>
      <c r="H8" s="115"/>
      <c r="J8" s="76" t="str">
        <f>C35</f>
        <v>4.4</v>
      </c>
      <c r="K8" s="82" t="str">
        <f>D35</f>
        <v>Outros Custos e Perdas Operacionais</v>
      </c>
      <c r="L8" s="112">
        <f>IF(ISERROR($E$35),"",$E$35)</f>
        <v>1500182672.03</v>
      </c>
      <c r="M8" s="87" t="str">
        <f t="shared" si="0"/>
        <v/>
      </c>
      <c r="N8" s="112">
        <f>IF(ISERROR($G$35),"",$G$35)</f>
        <v>0</v>
      </c>
      <c r="O8" s="68"/>
    </row>
    <row r="9" spans="2:15" ht="30" customHeight="1" thickTop="1" thickBot="1" x14ac:dyDescent="0.4">
      <c r="C9" s="114" t="s">
        <v>601</v>
      </c>
      <c r="D9" s="372" t="s">
        <v>869</v>
      </c>
      <c r="E9" s="373">
        <f>Balancete!F382</f>
        <v>0</v>
      </c>
      <c r="F9" s="115">
        <f t="shared" si="1"/>
        <v>0</v>
      </c>
      <c r="G9" s="373">
        <f>Balancete!G382</f>
        <v>0</v>
      </c>
      <c r="H9" s="115"/>
      <c r="J9" s="76" t="str">
        <f>C45</f>
        <v>4.5</v>
      </c>
      <c r="K9" s="82" t="str">
        <f>D45</f>
        <v>Custos e Perdas Financeiras Gerais</v>
      </c>
      <c r="L9" s="112">
        <f>IF(ISERROR($E$45),"",$E$45)</f>
        <v>15878780.16</v>
      </c>
      <c r="M9" s="87" t="str">
        <f t="shared" si="0"/>
        <v/>
      </c>
      <c r="N9" s="112">
        <f>IF(ISERROR($G$45),"",$G$45)</f>
        <v>0</v>
      </c>
      <c r="O9" s="68"/>
    </row>
    <row r="10" spans="2:15" ht="30" customHeight="1" thickTop="1" thickBot="1" x14ac:dyDescent="0.4">
      <c r="C10" s="114" t="s">
        <v>603</v>
      </c>
      <c r="D10" s="372" t="s">
        <v>860</v>
      </c>
      <c r="E10" s="373">
        <f>Balancete!F383</f>
        <v>0</v>
      </c>
      <c r="F10" s="115">
        <f t="shared" si="1"/>
        <v>0</v>
      </c>
      <c r="G10" s="373">
        <f>Balancete!G383</f>
        <v>0</v>
      </c>
      <c r="H10" s="115"/>
      <c r="J10" s="76" t="str">
        <f>C55</f>
        <v>4.6</v>
      </c>
      <c r="K10" s="82" t="str">
        <f>D55</f>
        <v>Custos e Perdas Financeiras para Filiais e Associadas</v>
      </c>
      <c r="L10" s="112">
        <f>IF(ISERROR($E$55),"",$E$55)</f>
        <v>0</v>
      </c>
      <c r="M10" s="87" t="str">
        <f t="shared" si="0"/>
        <v/>
      </c>
      <c r="N10" s="112">
        <f>IF(ISERROR($G$55),"",$G$55)</f>
        <v>0</v>
      </c>
      <c r="O10" s="68"/>
    </row>
    <row r="11" spans="2:15" ht="30" customHeight="1" thickTop="1" thickBot="1" x14ac:dyDescent="0.4">
      <c r="C11" s="114" t="s">
        <v>606</v>
      </c>
      <c r="D11" s="372"/>
      <c r="E11" s="373"/>
      <c r="F11" s="115">
        <f t="shared" si="1"/>
        <v>0</v>
      </c>
      <c r="G11" s="376"/>
      <c r="H11" s="115"/>
      <c r="J11" s="76" t="str">
        <f>C60</f>
        <v>4.7</v>
      </c>
      <c r="K11" s="82" t="str">
        <f>D60</f>
        <v>Outros Custos e Perdas não Operacionais</v>
      </c>
      <c r="L11" s="112">
        <f>IF(ISERROR($E$60),"",$E$60)</f>
        <v>1019425796.13</v>
      </c>
      <c r="M11" s="87" t="str">
        <f t="shared" si="0"/>
        <v/>
      </c>
      <c r="N11" s="112">
        <f>IF(ISERROR($G$60),"",$G$60)</f>
        <v>0</v>
      </c>
      <c r="O11" s="68"/>
    </row>
    <row r="12" spans="2:15" ht="30" customHeight="1" thickTop="1" thickBot="1" x14ac:dyDescent="0.4">
      <c r="C12" s="114" t="s">
        <v>1457</v>
      </c>
      <c r="D12" s="372"/>
      <c r="E12" s="373"/>
      <c r="F12" s="115">
        <f t="shared" si="1"/>
        <v>0</v>
      </c>
      <c r="G12" s="376"/>
      <c r="H12" s="115"/>
      <c r="J12" s="76" t="str">
        <f>C73</f>
        <v>4.8</v>
      </c>
      <c r="K12" s="82" t="str">
        <f>D73</f>
        <v>Custos e Perdas Extraordinários</v>
      </c>
      <c r="L12" s="112">
        <f>IF(ISERROR($E$73),"",$E$73)</f>
        <v>0</v>
      </c>
      <c r="M12" s="87" t="str">
        <f t="shared" si="0"/>
        <v/>
      </c>
      <c r="N12" s="112">
        <f>IF(ISERROR($G$73),"",$G$73)</f>
        <v>0</v>
      </c>
      <c r="O12" s="68"/>
    </row>
    <row r="13" spans="2:15" ht="30" customHeight="1" thickTop="1" thickBot="1" x14ac:dyDescent="0.4">
      <c r="C13" s="114" t="s">
        <v>1458</v>
      </c>
      <c r="D13" s="372"/>
      <c r="E13" s="373"/>
      <c r="F13" s="115">
        <f t="shared" si="1"/>
        <v>0</v>
      </c>
      <c r="G13" s="376"/>
      <c r="H13" s="115"/>
      <c r="J13" s="76"/>
      <c r="K13" s="82"/>
      <c r="L13" s="112">
        <f>IF(ISERROR($E$80),"",$E$80)</f>
        <v>0</v>
      </c>
      <c r="M13" s="87" t="str">
        <f t="shared" si="0"/>
        <v/>
      </c>
      <c r="N13" s="112">
        <f>IF(ISERROR($G$80),"",$G$80)</f>
        <v>0</v>
      </c>
      <c r="O13" s="68"/>
    </row>
    <row r="14" spans="2:15" ht="30" customHeight="1" thickTop="1" thickBot="1" x14ac:dyDescent="0.5">
      <c r="C14" s="114" t="s">
        <v>1459</v>
      </c>
      <c r="D14" s="372"/>
      <c r="E14" s="373"/>
      <c r="F14" s="115">
        <f t="shared" si="1"/>
        <v>0</v>
      </c>
      <c r="G14" s="376"/>
      <c r="H14" s="115"/>
      <c r="J14" s="18"/>
      <c r="K14" s="18"/>
      <c r="L14" s="18"/>
      <c r="M14" s="18"/>
    </row>
    <row r="15" spans="2:15" ht="30" customHeight="1" thickTop="1" thickBot="1" x14ac:dyDescent="0.4">
      <c r="C15" s="89" t="s">
        <v>608</v>
      </c>
      <c r="D15" s="90" t="s">
        <v>1460</v>
      </c>
      <c r="E15" s="698">
        <f>IF(ISERROR(SUM(E16:E24)),"",SUM(E16:E24))</f>
        <v>3317851310.2799997</v>
      </c>
      <c r="F15" s="676"/>
      <c r="G15" s="698">
        <f>IF(ISERROR(SUM(G16:G24)),"",SUM(G16:G24))</f>
        <v>0</v>
      </c>
      <c r="H15" s="676"/>
      <c r="J15" s="649" t="s">
        <v>1461</v>
      </c>
      <c r="K15" s="650"/>
      <c r="L15" s="650"/>
      <c r="M15" s="650"/>
      <c r="N15" s="649"/>
      <c r="O15" s="650"/>
    </row>
    <row r="16" spans="2:15" ht="30" customHeight="1" thickTop="1" thickBot="1" x14ac:dyDescent="0.4">
      <c r="C16" s="114" t="s">
        <v>610</v>
      </c>
      <c r="D16" s="372" t="s">
        <v>1462</v>
      </c>
      <c r="E16" s="373">
        <f>Balancete!F385</f>
        <v>0</v>
      </c>
      <c r="F16" s="115">
        <f>IF(ISERROR(E16/$E$15),"",E16/$E$15)</f>
        <v>0</v>
      </c>
      <c r="G16" s="373">
        <f>Balancete!G385</f>
        <v>0</v>
      </c>
      <c r="H16" s="115"/>
      <c r="J16" s="669" t="s">
        <v>1253</v>
      </c>
      <c r="K16" s="669"/>
      <c r="L16" s="703">
        <f>IF(ISERROR(SUM($L$5:$L$13)),"",SUM($L$5:$L$13))</f>
        <v>6541421289.999999</v>
      </c>
      <c r="M16" s="703"/>
      <c r="N16" s="703">
        <f>IF(ISERROR(SUM($N$5:$N$13)),"",SUM($N$5:$N$13))</f>
        <v>0</v>
      </c>
      <c r="O16" s="703"/>
    </row>
    <row r="17" spans="3:8" ht="30" customHeight="1" thickTop="1" thickBot="1" x14ac:dyDescent="0.4">
      <c r="C17" s="114" t="s">
        <v>613</v>
      </c>
      <c r="D17" s="372" t="s">
        <v>1463</v>
      </c>
      <c r="E17" s="373">
        <f>Balancete!F386</f>
        <v>2652928173.54</v>
      </c>
      <c r="F17" s="115">
        <f t="shared" ref="F17:F24" si="2">IF(ISERROR(E17/$E$15),"",E17/$E$15)</f>
        <v>0.7995922437271954</v>
      </c>
      <c r="G17" s="373">
        <f>Balancete!G386</f>
        <v>0</v>
      </c>
      <c r="H17" s="115"/>
    </row>
    <row r="18" spans="3:8" ht="30" customHeight="1" thickTop="1" thickBot="1" x14ac:dyDescent="0.4">
      <c r="C18" s="114" t="s">
        <v>616</v>
      </c>
      <c r="D18" s="372" t="s">
        <v>1166</v>
      </c>
      <c r="E18" s="373">
        <f>Balancete!F387</f>
        <v>112061122.98999999</v>
      </c>
      <c r="F18" s="115">
        <f t="shared" si="2"/>
        <v>3.377520946848668E-2</v>
      </c>
      <c r="G18" s="373">
        <f>Balancete!G387</f>
        <v>0</v>
      </c>
      <c r="H18" s="115"/>
    </row>
    <row r="19" spans="3:8" ht="30" customHeight="1" thickTop="1" thickBot="1" x14ac:dyDescent="0.4">
      <c r="C19" s="114" t="s">
        <v>619</v>
      </c>
      <c r="D19" s="372" t="s">
        <v>1167</v>
      </c>
      <c r="E19" s="373">
        <f>Balancete!F388</f>
        <v>0</v>
      </c>
      <c r="F19" s="115">
        <f t="shared" si="2"/>
        <v>0</v>
      </c>
      <c r="G19" s="373">
        <f>Balancete!G388</f>
        <v>0</v>
      </c>
      <c r="H19" s="115"/>
    </row>
    <row r="20" spans="3:8" ht="30" customHeight="1" thickTop="1" thickBot="1" x14ac:dyDescent="0.4">
      <c r="C20" s="114" t="s">
        <v>622</v>
      </c>
      <c r="D20" s="372" t="s">
        <v>1464</v>
      </c>
      <c r="E20" s="373">
        <f>Balancete!F389</f>
        <v>185583508.63999999</v>
      </c>
      <c r="F20" s="115">
        <f t="shared" si="2"/>
        <v>5.5934847973744262E-2</v>
      </c>
      <c r="G20" s="373">
        <f>Balancete!G389</f>
        <v>0</v>
      </c>
      <c r="H20" s="115"/>
    </row>
    <row r="21" spans="3:8" ht="30" customHeight="1" thickTop="1" thickBot="1" x14ac:dyDescent="0.4">
      <c r="C21" s="114" t="s">
        <v>1465</v>
      </c>
      <c r="D21" s="372" t="s">
        <v>1466</v>
      </c>
      <c r="E21" s="373">
        <f>Balancete!F390</f>
        <v>7513433.5199999996</v>
      </c>
      <c r="F21" s="115">
        <f t="shared" si="2"/>
        <v>2.2645479912618287E-3</v>
      </c>
      <c r="G21" s="373">
        <f>Balancete!G390</f>
        <v>0</v>
      </c>
      <c r="H21" s="115"/>
    </row>
    <row r="22" spans="3:8" ht="30" customHeight="1" thickTop="1" thickBot="1" x14ac:dyDescent="0.4">
      <c r="C22" s="114" t="s">
        <v>1467</v>
      </c>
      <c r="D22" s="372" t="s">
        <v>1170</v>
      </c>
      <c r="E22" s="373">
        <f>Balancete!F391</f>
        <v>9835303.3499999996</v>
      </c>
      <c r="F22" s="115">
        <f t="shared" si="2"/>
        <v>2.9643592886535895E-3</v>
      </c>
      <c r="G22" s="373">
        <f>Balancete!G391</f>
        <v>0</v>
      </c>
      <c r="H22" s="115"/>
    </row>
    <row r="23" spans="3:8" ht="30" customHeight="1" thickTop="1" thickBot="1" x14ac:dyDescent="0.4">
      <c r="C23" s="114" t="s">
        <v>1468</v>
      </c>
      <c r="D23" s="372" t="s">
        <v>1171</v>
      </c>
      <c r="E23" s="373">
        <f>Balancete!F392</f>
        <v>349929768.24000001</v>
      </c>
      <c r="F23" s="115">
        <f t="shared" si="2"/>
        <v>0.10546879155065836</v>
      </c>
      <c r="G23" s="373">
        <f>Balancete!G392</f>
        <v>0</v>
      </c>
      <c r="H23" s="115"/>
    </row>
    <row r="24" spans="3:8" ht="30" customHeight="1" thickTop="1" thickBot="1" x14ac:dyDescent="0.4">
      <c r="C24" s="114" t="s">
        <v>1469</v>
      </c>
      <c r="D24" s="372"/>
      <c r="E24" s="373"/>
      <c r="F24" s="115">
        <f t="shared" si="2"/>
        <v>0</v>
      </c>
      <c r="G24" s="376"/>
      <c r="H24" s="115"/>
    </row>
    <row r="25" spans="3:8" ht="30" customHeight="1" thickTop="1" thickBot="1" x14ac:dyDescent="0.4">
      <c r="C25" s="89" t="s">
        <v>624</v>
      </c>
      <c r="D25" s="90" t="s">
        <v>1470</v>
      </c>
      <c r="E25" s="698">
        <f>IF(ISERROR(SUM(E26:E34)),"",SUM(E26:E34))</f>
        <v>508397950.43000001</v>
      </c>
      <c r="F25" s="676"/>
      <c r="G25" s="698">
        <f>IF(ISERROR(SUM(G26:G34)),"",SUM(G26:G34))</f>
        <v>0</v>
      </c>
      <c r="H25" s="676"/>
    </row>
    <row r="26" spans="3:8" ht="30" customHeight="1" thickTop="1" thickBot="1" x14ac:dyDescent="0.4">
      <c r="C26" s="114" t="s">
        <v>626</v>
      </c>
      <c r="D26" s="372" t="s">
        <v>29</v>
      </c>
      <c r="E26" s="373">
        <f>Balancete!F394</f>
        <v>499980887.38999999</v>
      </c>
      <c r="F26" s="115">
        <f>IF(ISERROR(E26/$E$25),"",E26/$E$25)</f>
        <v>0.98344394773251753</v>
      </c>
      <c r="G26" s="373">
        <f>Balancete!G394</f>
        <v>0</v>
      </c>
      <c r="H26" s="115"/>
    </row>
    <row r="27" spans="3:8" ht="30" customHeight="1" thickTop="1" thickBot="1" x14ac:dyDescent="0.4">
      <c r="C27" s="114" t="s">
        <v>629</v>
      </c>
      <c r="D27" s="372" t="s">
        <v>63</v>
      </c>
      <c r="E27" s="373">
        <f>Balancete!F402</f>
        <v>8417063.0399999991</v>
      </c>
      <c r="F27" s="115">
        <f t="shared" ref="F27:F34" si="3">IF(ISERROR(E27/$E$25),"",E27/$E$25)</f>
        <v>1.6556052267482385E-2</v>
      </c>
      <c r="G27" s="373">
        <f>Balancete!G402</f>
        <v>0</v>
      </c>
      <c r="H27" s="115"/>
    </row>
    <row r="28" spans="3:8" ht="30" customHeight="1" thickTop="1" thickBot="1" x14ac:dyDescent="0.4">
      <c r="C28" s="114" t="s">
        <v>632</v>
      </c>
      <c r="D28" s="372"/>
      <c r="E28" s="373"/>
      <c r="F28" s="115">
        <f t="shared" si="3"/>
        <v>0</v>
      </c>
      <c r="G28" s="373"/>
      <c r="H28" s="115"/>
    </row>
    <row r="29" spans="3:8" ht="30" customHeight="1" thickTop="1" thickBot="1" x14ac:dyDescent="0.4">
      <c r="C29" s="114" t="s">
        <v>1471</v>
      </c>
      <c r="D29" s="372"/>
      <c r="E29" s="373"/>
      <c r="F29" s="115">
        <f t="shared" si="3"/>
        <v>0</v>
      </c>
      <c r="G29" s="373"/>
      <c r="H29" s="115"/>
    </row>
    <row r="30" spans="3:8" ht="30" customHeight="1" thickTop="1" thickBot="1" x14ac:dyDescent="0.4">
      <c r="C30" s="114" t="s">
        <v>1472</v>
      </c>
      <c r="D30" s="372"/>
      <c r="E30" s="373"/>
      <c r="F30" s="115">
        <f t="shared" si="3"/>
        <v>0</v>
      </c>
      <c r="G30" s="376"/>
      <c r="H30" s="115"/>
    </row>
    <row r="31" spans="3:8" ht="30" customHeight="1" thickTop="1" thickBot="1" x14ac:dyDescent="0.4">
      <c r="C31" s="114" t="s">
        <v>1473</v>
      </c>
      <c r="D31" s="372"/>
      <c r="E31" s="373"/>
      <c r="F31" s="115">
        <f t="shared" si="3"/>
        <v>0</v>
      </c>
      <c r="G31" s="376"/>
      <c r="H31" s="115"/>
    </row>
    <row r="32" spans="3:8" ht="30" customHeight="1" thickTop="1" thickBot="1" x14ac:dyDescent="0.4">
      <c r="C32" s="114" t="s">
        <v>1474</v>
      </c>
      <c r="D32" s="372"/>
      <c r="E32" s="373"/>
      <c r="F32" s="115">
        <f t="shared" si="3"/>
        <v>0</v>
      </c>
      <c r="G32" s="376"/>
      <c r="H32" s="115"/>
    </row>
    <row r="33" spans="3:10" ht="30" customHeight="1" thickTop="1" thickBot="1" x14ac:dyDescent="0.4">
      <c r="C33" s="114" t="s">
        <v>1475</v>
      </c>
      <c r="D33" s="372"/>
      <c r="E33" s="373"/>
      <c r="F33" s="115">
        <f t="shared" si="3"/>
        <v>0</v>
      </c>
      <c r="G33" s="376"/>
      <c r="H33" s="115"/>
    </row>
    <row r="34" spans="3:10" ht="30" customHeight="1" thickTop="1" thickBot="1" x14ac:dyDescent="0.4">
      <c r="C34" s="114" t="s">
        <v>1476</v>
      </c>
      <c r="D34" s="372"/>
      <c r="E34" s="373"/>
      <c r="F34" s="115">
        <f t="shared" si="3"/>
        <v>0</v>
      </c>
      <c r="G34" s="376"/>
      <c r="H34" s="115"/>
    </row>
    <row r="35" spans="3:10" ht="30" customHeight="1" thickTop="1" thickBot="1" x14ac:dyDescent="0.4">
      <c r="C35" s="89" t="s">
        <v>634</v>
      </c>
      <c r="D35" s="90" t="s">
        <v>1477</v>
      </c>
      <c r="E35" s="698">
        <f>IF(ISERROR(SUM(E36:E44)),"",SUM(E36:E44))</f>
        <v>1500182672.03</v>
      </c>
      <c r="F35" s="676"/>
      <c r="G35" s="698">
        <f>IF(ISERROR(SUM(G36:G44)),"",SUM(G36:G44))</f>
        <v>0</v>
      </c>
      <c r="H35" s="676"/>
    </row>
    <row r="36" spans="3:10" ht="30" customHeight="1" thickTop="1" thickBot="1" x14ac:dyDescent="0.4">
      <c r="C36" s="114" t="s">
        <v>636</v>
      </c>
      <c r="D36" s="372" t="s">
        <v>1174</v>
      </c>
      <c r="E36" s="373">
        <f>Balancete!F409</f>
        <v>0</v>
      </c>
      <c r="F36" s="115">
        <f>IF(ISERROR(E36/$E$35),"",E36/$E$35)</f>
        <v>0</v>
      </c>
      <c r="G36" s="373">
        <f>Balancete!G409</f>
        <v>0</v>
      </c>
      <c r="H36" s="115"/>
    </row>
    <row r="37" spans="3:10" ht="30" customHeight="1" thickTop="1" thickBot="1" x14ac:dyDescent="0.4">
      <c r="C37" s="114" t="s">
        <v>639</v>
      </c>
      <c r="D37" s="372" t="s">
        <v>1175</v>
      </c>
      <c r="E37" s="373">
        <f>Balancete!F410</f>
        <v>1496301855.03</v>
      </c>
      <c r="F37" s="115">
        <f t="shared" ref="F37:F44" si="4">IF(ISERROR(E37/$E$35),"",E37/$E$35)</f>
        <v>0.99741310370239877</v>
      </c>
      <c r="G37" s="373">
        <f>Balancete!G410</f>
        <v>0</v>
      </c>
      <c r="H37" s="115"/>
      <c r="J37" s="61"/>
    </row>
    <row r="38" spans="3:10" ht="30" customHeight="1" thickTop="1" thickBot="1" x14ac:dyDescent="0.4">
      <c r="C38" s="114" t="s">
        <v>642</v>
      </c>
      <c r="D38" s="372" t="s">
        <v>1176</v>
      </c>
      <c r="E38" s="373">
        <f>Balancete!F411</f>
        <v>3880817</v>
      </c>
      <c r="F38" s="115">
        <f t="shared" si="4"/>
        <v>2.5868962976012787E-3</v>
      </c>
      <c r="G38" s="373">
        <f>Balancete!G411</f>
        <v>0</v>
      </c>
      <c r="H38" s="115"/>
    </row>
    <row r="39" spans="3:10" ht="30" customHeight="1" thickTop="1" thickBot="1" x14ac:dyDescent="0.4">
      <c r="C39" s="114" t="s">
        <v>645</v>
      </c>
      <c r="D39" s="372" t="s">
        <v>1177</v>
      </c>
      <c r="E39" s="373">
        <f>Balancete!F412</f>
        <v>0</v>
      </c>
      <c r="F39" s="115">
        <f t="shared" si="4"/>
        <v>0</v>
      </c>
      <c r="G39" s="373">
        <f>Balancete!G412</f>
        <v>0</v>
      </c>
      <c r="H39" s="115"/>
    </row>
    <row r="40" spans="3:10" ht="30" customHeight="1" thickTop="1" thickBot="1" x14ac:dyDescent="0.4">
      <c r="C40" s="114" t="s">
        <v>648</v>
      </c>
      <c r="D40" s="372" t="s">
        <v>1178</v>
      </c>
      <c r="E40" s="373">
        <f>Balancete!F413</f>
        <v>0</v>
      </c>
      <c r="F40" s="115">
        <f t="shared" si="4"/>
        <v>0</v>
      </c>
      <c r="G40" s="373">
        <f>Balancete!G413</f>
        <v>0</v>
      </c>
      <c r="H40" s="115"/>
    </row>
    <row r="41" spans="3:10" ht="30" customHeight="1" thickTop="1" thickBot="1" x14ac:dyDescent="0.4">
      <c r="C41" s="114" t="s">
        <v>651</v>
      </c>
      <c r="D41" s="372" t="s">
        <v>1179</v>
      </c>
      <c r="E41" s="373">
        <f>Balancete!F414</f>
        <v>0</v>
      </c>
      <c r="F41" s="115">
        <f t="shared" si="4"/>
        <v>0</v>
      </c>
      <c r="G41" s="373">
        <f>Balancete!G414</f>
        <v>0</v>
      </c>
      <c r="H41" s="115"/>
    </row>
    <row r="42" spans="3:10" ht="30" customHeight="1" thickTop="1" thickBot="1" x14ac:dyDescent="0.4">
      <c r="C42" s="114" t="s">
        <v>654</v>
      </c>
      <c r="D42" s="372" t="s">
        <v>635</v>
      </c>
      <c r="E42" s="373">
        <f>Balancete!F415</f>
        <v>0</v>
      </c>
      <c r="F42" s="115">
        <f t="shared" si="4"/>
        <v>0</v>
      </c>
      <c r="G42" s="373">
        <f>Balancete!G415</f>
        <v>0</v>
      </c>
      <c r="H42" s="115"/>
    </row>
    <row r="43" spans="3:10" ht="30" customHeight="1" thickTop="1" thickBot="1" x14ac:dyDescent="0.4">
      <c r="C43" s="114" t="s">
        <v>657</v>
      </c>
      <c r="D43" s="372"/>
      <c r="E43" s="373"/>
      <c r="F43" s="115">
        <f t="shared" si="4"/>
        <v>0</v>
      </c>
      <c r="G43" s="376"/>
      <c r="H43" s="115"/>
    </row>
    <row r="44" spans="3:10" ht="30" customHeight="1" thickTop="1" thickBot="1" x14ac:dyDescent="0.4">
      <c r="C44" s="114" t="s">
        <v>1478</v>
      </c>
      <c r="D44" s="372"/>
      <c r="E44" s="373"/>
      <c r="F44" s="115">
        <f t="shared" si="4"/>
        <v>0</v>
      </c>
      <c r="G44" s="376"/>
      <c r="H44" s="115"/>
    </row>
    <row r="45" spans="3:10" ht="30" customHeight="1" thickTop="1" thickBot="1" x14ac:dyDescent="0.4">
      <c r="C45" s="89" t="s">
        <v>659</v>
      </c>
      <c r="D45" s="90" t="s">
        <v>1479</v>
      </c>
      <c r="E45" s="698">
        <f>IF(ISERROR(SUM(E46:E54)),"",SUM(E46:E54))</f>
        <v>15878780.16</v>
      </c>
      <c r="F45" s="676"/>
      <c r="G45" s="698">
        <f>IF(ISERROR(SUM(G46:G54)),"",SUM(G46:G54))</f>
        <v>0</v>
      </c>
      <c r="H45" s="676"/>
    </row>
    <row r="46" spans="3:10" ht="30" customHeight="1" thickTop="1" thickBot="1" x14ac:dyDescent="0.4">
      <c r="C46" s="114" t="s">
        <v>661</v>
      </c>
      <c r="D46" s="372" t="s">
        <v>1480</v>
      </c>
      <c r="E46" s="373">
        <f>Balancete!F417</f>
        <v>5589279.8499999996</v>
      </c>
      <c r="F46" s="115">
        <f>IF(ISERROR(E46/$E$45),"",E46/$E$45)</f>
        <v>0.35199680288287333</v>
      </c>
      <c r="G46" s="373">
        <f>Balancete!G417</f>
        <v>0</v>
      </c>
      <c r="H46" s="115"/>
    </row>
    <row r="47" spans="3:10" ht="30" customHeight="1" thickTop="1" thickBot="1" x14ac:dyDescent="0.4">
      <c r="C47" s="114" t="s">
        <v>686</v>
      </c>
      <c r="D47" s="372" t="s">
        <v>1481</v>
      </c>
      <c r="E47" s="373">
        <f>Balancete!F422</f>
        <v>2003818.32</v>
      </c>
      <c r="F47" s="115">
        <f t="shared" ref="F47:F54" si="5">IF(ISERROR(E47/$E$45),"",E47/$E$45)</f>
        <v>0.12619472653496325</v>
      </c>
      <c r="G47" s="373">
        <f>Balancete!G422</f>
        <v>0</v>
      </c>
      <c r="H47" s="115"/>
    </row>
    <row r="48" spans="3:10" ht="30" customHeight="1" thickTop="1" thickBot="1" x14ac:dyDescent="0.4">
      <c r="C48" s="114" t="s">
        <v>1482</v>
      </c>
      <c r="D48" s="372" t="s">
        <v>1186</v>
      </c>
      <c r="E48" s="373">
        <f>Balancete!F423</f>
        <v>0</v>
      </c>
      <c r="F48" s="115">
        <f t="shared" si="5"/>
        <v>0</v>
      </c>
      <c r="G48" s="373">
        <f>Balancete!G423</f>
        <v>0</v>
      </c>
      <c r="H48" s="115"/>
    </row>
    <row r="49" spans="3:8" ht="30" customHeight="1" thickTop="1" thickBot="1" x14ac:dyDescent="0.4">
      <c r="C49" s="114" t="s">
        <v>1483</v>
      </c>
      <c r="D49" s="372" t="s">
        <v>1187</v>
      </c>
      <c r="E49" s="373">
        <f>Balancete!F424</f>
        <v>0</v>
      </c>
      <c r="F49" s="115">
        <f t="shared" si="5"/>
        <v>0</v>
      </c>
      <c r="G49" s="373">
        <f>Balancete!G424</f>
        <v>0</v>
      </c>
      <c r="H49" s="115"/>
    </row>
    <row r="50" spans="3:8" ht="30" customHeight="1" thickTop="1" thickBot="1" x14ac:dyDescent="0.4">
      <c r="C50" s="114" t="s">
        <v>1484</v>
      </c>
      <c r="D50" s="372" t="s">
        <v>1188</v>
      </c>
      <c r="E50" s="373">
        <f>Balancete!F425</f>
        <v>0</v>
      </c>
      <c r="F50" s="115">
        <f t="shared" si="5"/>
        <v>0</v>
      </c>
      <c r="G50" s="373">
        <f>Balancete!G425</f>
        <v>0</v>
      </c>
      <c r="H50" s="115"/>
    </row>
    <row r="51" spans="3:8" ht="30" customHeight="1" thickTop="1" thickBot="1" x14ac:dyDescent="0.4">
      <c r="C51" s="114" t="s">
        <v>1485</v>
      </c>
      <c r="D51" s="372" t="s">
        <v>1189</v>
      </c>
      <c r="E51" s="373">
        <f>Balancete!F428</f>
        <v>0</v>
      </c>
      <c r="F51" s="115">
        <f t="shared" si="5"/>
        <v>0</v>
      </c>
      <c r="G51" s="373">
        <f>Balancete!G428</f>
        <v>0</v>
      </c>
      <c r="H51" s="115"/>
    </row>
    <row r="52" spans="3:8" ht="30" customHeight="1" thickTop="1" thickBot="1" x14ac:dyDescent="0.4">
      <c r="C52" s="114" t="s">
        <v>1486</v>
      </c>
      <c r="D52" s="372" t="s">
        <v>1191</v>
      </c>
      <c r="E52" s="373">
        <f>Balancete!F431</f>
        <v>8285681.9900000002</v>
      </c>
      <c r="F52" s="115">
        <f>IF(ISERROR(E52/$E$45),"",E52/$E$45)</f>
        <v>0.5218084705821634</v>
      </c>
      <c r="G52" s="373">
        <f>Balancete!G431</f>
        <v>0</v>
      </c>
      <c r="H52" s="115"/>
    </row>
    <row r="53" spans="3:8" ht="30" customHeight="1" thickTop="1" thickBot="1" x14ac:dyDescent="0.4">
      <c r="C53" s="114" t="s">
        <v>1487</v>
      </c>
      <c r="D53" s="372"/>
      <c r="E53" s="373"/>
      <c r="F53" s="115">
        <f t="shared" si="5"/>
        <v>0</v>
      </c>
      <c r="G53" s="376"/>
      <c r="H53" s="115"/>
    </row>
    <row r="54" spans="3:8" ht="30" customHeight="1" thickTop="1" thickBot="1" x14ac:dyDescent="0.4">
      <c r="C54" s="114" t="s">
        <v>1488</v>
      </c>
      <c r="D54" s="372"/>
      <c r="E54" s="373"/>
      <c r="F54" s="115">
        <f t="shared" si="5"/>
        <v>0</v>
      </c>
      <c r="G54" s="376"/>
      <c r="H54" s="115"/>
    </row>
    <row r="55" spans="3:8" ht="30" customHeight="1" thickTop="1" thickBot="1" x14ac:dyDescent="0.4">
      <c r="C55" s="89" t="s">
        <v>690</v>
      </c>
      <c r="D55" s="90" t="s">
        <v>1489</v>
      </c>
      <c r="E55" s="698">
        <f>IF(ISERROR(SUM(E56:E59)),"",SUM(E56:E59))</f>
        <v>0</v>
      </c>
      <c r="F55" s="676"/>
      <c r="G55" s="698">
        <f>IF(ISERROR(SUM(G56:G59)),"",SUM(G56:G59))</f>
        <v>0</v>
      </c>
      <c r="H55" s="676"/>
    </row>
    <row r="56" spans="3:8" ht="30" customHeight="1" thickTop="1" thickBot="1" x14ac:dyDescent="0.4">
      <c r="C56" s="114" t="s">
        <v>692</v>
      </c>
      <c r="D56" s="372" t="s">
        <v>1193</v>
      </c>
      <c r="E56" s="373">
        <f>Balancete!F433</f>
        <v>0</v>
      </c>
      <c r="F56" s="115" t="str">
        <f>IF(ISERROR(E56/$E$55),"",E56/$E$55)</f>
        <v/>
      </c>
      <c r="G56" s="373">
        <f>Balancete!G433</f>
        <v>0</v>
      </c>
      <c r="H56" s="115"/>
    </row>
    <row r="57" spans="3:8" ht="30" customHeight="1" thickTop="1" thickBot="1" x14ac:dyDescent="0.4">
      <c r="C57" s="114" t="s">
        <v>695</v>
      </c>
      <c r="D57" s="372" t="s">
        <v>1194</v>
      </c>
      <c r="E57" s="373">
        <f>Balancete!F434</f>
        <v>0</v>
      </c>
      <c r="F57" s="115" t="str">
        <f t="shared" ref="F57:F59" si="6">IF(ISERROR(E57/$E$55),"",E57/$E$55)</f>
        <v/>
      </c>
      <c r="G57" s="373">
        <f>Balancete!G434</f>
        <v>0</v>
      </c>
      <c r="H57" s="115"/>
    </row>
    <row r="58" spans="3:8" ht="30" customHeight="1" thickTop="1" thickBot="1" x14ac:dyDescent="0.4">
      <c r="C58" s="114" t="s">
        <v>698</v>
      </c>
      <c r="D58" s="372"/>
      <c r="E58" s="373"/>
      <c r="F58" s="115" t="str">
        <f t="shared" si="6"/>
        <v/>
      </c>
      <c r="G58" s="376"/>
      <c r="H58" s="115"/>
    </row>
    <row r="59" spans="3:8" ht="30" customHeight="1" thickTop="1" thickBot="1" x14ac:dyDescent="0.4">
      <c r="C59" s="114" t="s">
        <v>715</v>
      </c>
      <c r="D59" s="372"/>
      <c r="E59" s="373"/>
      <c r="F59" s="115" t="str">
        <f t="shared" si="6"/>
        <v/>
      </c>
      <c r="G59" s="376"/>
      <c r="H59" s="115"/>
    </row>
    <row r="60" spans="3:8" ht="30" customHeight="1" thickTop="1" thickBot="1" x14ac:dyDescent="0.4">
      <c r="C60" s="89" t="s">
        <v>725</v>
      </c>
      <c r="D60" s="90" t="s">
        <v>1490</v>
      </c>
      <c r="E60" s="698">
        <f>IF(ISERROR(SUM(E61:E72)),"",SUM(E61:E72))</f>
        <v>1019425796.13</v>
      </c>
      <c r="F60" s="676"/>
      <c r="G60" s="698">
        <f>IF(ISERROR(SUM(G61:G72)),"",SUM(G61:G72))</f>
        <v>0</v>
      </c>
      <c r="H60" s="676"/>
    </row>
    <row r="61" spans="3:8" ht="30" customHeight="1" thickTop="1" thickBot="1" x14ac:dyDescent="0.4">
      <c r="C61" s="114" t="s">
        <v>727</v>
      </c>
      <c r="D61" s="372" t="s">
        <v>1195</v>
      </c>
      <c r="E61" s="373">
        <f>Balancete!F436</f>
        <v>510234637.59000003</v>
      </c>
      <c r="F61" s="115">
        <f>IF(ISERROR(E61/$E$60),"",E61/$E$60)</f>
        <v>0.50051179745203689</v>
      </c>
      <c r="G61" s="373">
        <f>Balancete!G436</f>
        <v>0</v>
      </c>
      <c r="H61" s="115"/>
    </row>
    <row r="62" spans="3:8" ht="30" customHeight="1" thickTop="1" thickBot="1" x14ac:dyDescent="0.4">
      <c r="C62" s="114" t="s">
        <v>730</v>
      </c>
      <c r="D62" s="372" t="s">
        <v>1196</v>
      </c>
      <c r="E62" s="373">
        <f>Balancete!F440</f>
        <v>0</v>
      </c>
      <c r="F62" s="115">
        <f t="shared" ref="F62:F66" si="7">IF(ISERROR(E62/$E$60),"",E62/$E$60)</f>
        <v>0</v>
      </c>
      <c r="G62" s="373">
        <f>Balancete!G440</f>
        <v>0</v>
      </c>
      <c r="H62" s="115"/>
    </row>
    <row r="63" spans="3:8" ht="30" customHeight="1" thickTop="1" thickBot="1" x14ac:dyDescent="0.4">
      <c r="C63" s="114" t="s">
        <v>733</v>
      </c>
      <c r="D63" s="372" t="s">
        <v>1491</v>
      </c>
      <c r="E63" s="373">
        <f>Balancete!F441</f>
        <v>0</v>
      </c>
      <c r="F63" s="115">
        <f t="shared" si="7"/>
        <v>0</v>
      </c>
      <c r="G63" s="373">
        <f>Balancete!G441</f>
        <v>0</v>
      </c>
      <c r="H63" s="115"/>
    </row>
    <row r="64" spans="3:8" ht="30" customHeight="1" thickTop="1" thickBot="1" x14ac:dyDescent="0.4">
      <c r="C64" s="114" t="s">
        <v>736</v>
      </c>
      <c r="D64" s="372" t="s">
        <v>1197</v>
      </c>
      <c r="E64" s="373">
        <f>Balancete!F442</f>
        <v>0</v>
      </c>
      <c r="F64" s="115">
        <f t="shared" si="7"/>
        <v>0</v>
      </c>
      <c r="G64" s="373">
        <f>Balancete!G442</f>
        <v>0</v>
      </c>
      <c r="H64" s="115"/>
    </row>
    <row r="65" spans="3:10" ht="30" customHeight="1" thickTop="1" thickBot="1" x14ac:dyDescent="0.4">
      <c r="C65" s="114" t="s">
        <v>739</v>
      </c>
      <c r="D65" s="372" t="s">
        <v>1198</v>
      </c>
      <c r="E65" s="373">
        <f>Balancete!F443</f>
        <v>415495770.25999999</v>
      </c>
      <c r="F65" s="115">
        <f t="shared" si="7"/>
        <v>0.40757823849202929</v>
      </c>
      <c r="G65" s="373">
        <f>Balancete!G443</f>
        <v>0</v>
      </c>
      <c r="H65" s="115"/>
    </row>
    <row r="66" spans="3:10" ht="30" customHeight="1" thickTop="1" thickBot="1" x14ac:dyDescent="0.4">
      <c r="C66" s="114" t="s">
        <v>1492</v>
      </c>
      <c r="D66" s="372" t="s">
        <v>1199</v>
      </c>
      <c r="E66" s="373">
        <f>Balancete!F444</f>
        <v>77000</v>
      </c>
      <c r="F66" s="115">
        <f t="shared" si="7"/>
        <v>7.5532716841492152E-5</v>
      </c>
      <c r="G66" s="373">
        <f>Balancete!G444</f>
        <v>0</v>
      </c>
      <c r="H66" s="115"/>
    </row>
    <row r="67" spans="3:10" ht="30" customHeight="1" thickTop="1" thickBot="1" x14ac:dyDescent="0.4">
      <c r="C67" s="114" t="s">
        <v>1493</v>
      </c>
      <c r="D67" s="372" t="s">
        <v>1200</v>
      </c>
      <c r="E67" s="373">
        <f>Balancete!F445</f>
        <v>0</v>
      </c>
      <c r="F67" s="115"/>
      <c r="G67" s="373">
        <f>Balancete!G445</f>
        <v>0</v>
      </c>
      <c r="H67" s="115"/>
    </row>
    <row r="68" spans="3:10" ht="30" customHeight="1" thickTop="1" thickBot="1" x14ac:dyDescent="0.4">
      <c r="C68" s="114" t="s">
        <v>1494</v>
      </c>
      <c r="D68" s="372" t="s">
        <v>1144</v>
      </c>
      <c r="E68" s="373">
        <f>Balancete!F446</f>
        <v>0</v>
      </c>
      <c r="F68" s="115"/>
      <c r="G68" s="373">
        <f>Balancete!G446</f>
        <v>0</v>
      </c>
      <c r="H68" s="115"/>
    </row>
    <row r="69" spans="3:10" ht="30" customHeight="1" thickTop="1" thickBot="1" x14ac:dyDescent="0.4">
      <c r="C69" s="114" t="s">
        <v>1495</v>
      </c>
      <c r="D69" s="372" t="s">
        <v>1496</v>
      </c>
      <c r="E69" s="373">
        <f>Balancete!F447</f>
        <v>0</v>
      </c>
      <c r="F69" s="115"/>
      <c r="G69" s="373">
        <f>Balancete!G447</f>
        <v>0</v>
      </c>
      <c r="H69" s="115"/>
    </row>
    <row r="70" spans="3:10" ht="30" customHeight="1" thickTop="1" thickBot="1" x14ac:dyDescent="0.4">
      <c r="C70" s="114" t="s">
        <v>1497</v>
      </c>
      <c r="D70" s="372" t="s">
        <v>1443</v>
      </c>
      <c r="E70" s="373">
        <f>Balancete!F448</f>
        <v>93618388.280000001</v>
      </c>
      <c r="F70" s="115"/>
      <c r="G70" s="373">
        <f>Balancete!G448</f>
        <v>0</v>
      </c>
      <c r="H70" s="115"/>
    </row>
    <row r="71" spans="3:10" ht="30" customHeight="1" thickTop="1" thickBot="1" x14ac:dyDescent="0.4">
      <c r="C71" s="114" t="s">
        <v>1498</v>
      </c>
      <c r="D71" s="372" t="s">
        <v>1499</v>
      </c>
      <c r="E71" s="373">
        <f>Balancete!F449</f>
        <v>0</v>
      </c>
      <c r="F71" s="115"/>
      <c r="G71" s="373">
        <f>Balancete!G449</f>
        <v>0</v>
      </c>
      <c r="H71" s="115"/>
    </row>
    <row r="72" spans="3:10" ht="30" customHeight="1" thickTop="1" thickBot="1" x14ac:dyDescent="0.4">
      <c r="C72" s="114" t="s">
        <v>1500</v>
      </c>
      <c r="D72" s="372"/>
      <c r="E72" s="373"/>
      <c r="F72" s="115"/>
      <c r="G72" s="376"/>
      <c r="H72" s="115"/>
    </row>
    <row r="73" spans="3:10" ht="30" customHeight="1" thickTop="1" thickBot="1" x14ac:dyDescent="0.4">
      <c r="C73" s="89" t="s">
        <v>1501</v>
      </c>
      <c r="D73" s="90" t="s">
        <v>1502</v>
      </c>
      <c r="E73" s="698">
        <f>IF(ISERROR(SUM(E74:E79)),"",SUM(E74:E79))</f>
        <v>0</v>
      </c>
      <c r="F73" s="676"/>
      <c r="G73" s="698">
        <f>IF(ISERROR(SUM(G74:G79)),"",SUM(G74:G79))</f>
        <v>0</v>
      </c>
      <c r="H73" s="676"/>
    </row>
    <row r="74" spans="3:10" ht="30" customHeight="1" thickTop="1" thickBot="1" x14ac:dyDescent="0.4">
      <c r="C74" s="114" t="s">
        <v>1503</v>
      </c>
      <c r="D74" s="372" t="s">
        <v>1201</v>
      </c>
      <c r="E74" s="373">
        <f>Balancete!F451</f>
        <v>0</v>
      </c>
      <c r="F74" s="115" t="str">
        <f>IF(ISERROR(E74/$E$73),"",E74/$E$73)</f>
        <v/>
      </c>
      <c r="G74" s="373">
        <f>Balancete!G451</f>
        <v>0</v>
      </c>
      <c r="H74" s="115"/>
    </row>
    <row r="75" spans="3:10" ht="30" customHeight="1" thickTop="1" thickBot="1" x14ac:dyDescent="0.4">
      <c r="C75" s="114" t="s">
        <v>1504</v>
      </c>
      <c r="D75" s="372" t="s">
        <v>1202</v>
      </c>
      <c r="E75" s="373">
        <f>Balancete!F452</f>
        <v>0</v>
      </c>
      <c r="F75" s="115" t="str">
        <f t="shared" ref="F75:F79" si="8">IF(ISERROR(E75/$E$73),"",E75/$E$73)</f>
        <v/>
      </c>
      <c r="G75" s="373">
        <f>Balancete!G452</f>
        <v>0</v>
      </c>
      <c r="H75" s="115"/>
    </row>
    <row r="76" spans="3:10" ht="30" customHeight="1" thickTop="1" thickBot="1" x14ac:dyDescent="0.4">
      <c r="C76" s="114" t="s">
        <v>1505</v>
      </c>
      <c r="D76" s="372" t="s">
        <v>1203</v>
      </c>
      <c r="E76" s="373">
        <f>Balancete!F453</f>
        <v>0</v>
      </c>
      <c r="F76" s="115" t="str">
        <f t="shared" si="8"/>
        <v/>
      </c>
      <c r="G76" s="373">
        <f>Balancete!G453</f>
        <v>0</v>
      </c>
      <c r="H76" s="115"/>
    </row>
    <row r="77" spans="3:10" ht="30" customHeight="1" thickTop="1" thickBot="1" x14ac:dyDescent="0.4">
      <c r="C77" s="114" t="s">
        <v>1506</v>
      </c>
      <c r="D77" s="372" t="s">
        <v>1204</v>
      </c>
      <c r="E77" s="373">
        <f>Balancete!F454</f>
        <v>0</v>
      </c>
      <c r="F77" s="115" t="str">
        <f t="shared" si="8"/>
        <v/>
      </c>
      <c r="G77" s="373">
        <f>Balancete!G454</f>
        <v>0</v>
      </c>
      <c r="H77" s="115"/>
      <c r="J77" s="61"/>
    </row>
    <row r="78" spans="3:10" ht="30" customHeight="1" thickTop="1" thickBot="1" x14ac:dyDescent="0.4">
      <c r="C78" s="114" t="s">
        <v>1507</v>
      </c>
      <c r="D78" s="372"/>
      <c r="E78" s="373"/>
      <c r="F78" s="115" t="str">
        <f t="shared" si="8"/>
        <v/>
      </c>
      <c r="G78" s="376"/>
      <c r="H78" s="115"/>
    </row>
    <row r="79" spans="3:10" ht="30" customHeight="1" thickTop="1" thickBot="1" x14ac:dyDescent="0.4">
      <c r="C79" s="114" t="s">
        <v>1508</v>
      </c>
      <c r="D79" s="372"/>
      <c r="E79" s="373"/>
      <c r="F79" s="115" t="str">
        <f t="shared" si="8"/>
        <v/>
      </c>
      <c r="G79" s="376"/>
      <c r="H79" s="115"/>
    </row>
    <row r="80" spans="3:10" ht="30" customHeight="1" thickTop="1" thickBot="1" x14ac:dyDescent="0.4">
      <c r="C80" s="89"/>
      <c r="D80" s="90"/>
      <c r="E80" s="698"/>
      <c r="F80" s="676"/>
      <c r="G80" s="283"/>
      <c r="H80" s="283"/>
    </row>
    <row r="81" spans="3:8" ht="30" customHeight="1" thickTop="1" thickBot="1" x14ac:dyDescent="0.4">
      <c r="C81" s="531"/>
      <c r="D81" s="372"/>
      <c r="E81" s="373"/>
      <c r="F81" s="532"/>
      <c r="G81" s="532"/>
      <c r="H81" s="532"/>
    </row>
    <row r="82" spans="3:8" ht="30" customHeight="1" thickTop="1" thickBot="1" x14ac:dyDescent="0.4">
      <c r="C82" s="531"/>
      <c r="D82" s="372"/>
      <c r="E82" s="373"/>
      <c r="F82" s="532"/>
      <c r="G82" s="532"/>
      <c r="H82" s="532"/>
    </row>
    <row r="83" spans="3:8" ht="30" customHeight="1" thickTop="1" thickBot="1" x14ac:dyDescent="0.4">
      <c r="C83" s="531"/>
      <c r="D83" s="372"/>
      <c r="E83" s="373"/>
      <c r="F83" s="532"/>
      <c r="G83" s="532"/>
      <c r="H83" s="532"/>
    </row>
    <row r="84" spans="3:8" ht="30" customHeight="1" thickTop="1" thickBot="1" x14ac:dyDescent="0.4">
      <c r="C84" s="531"/>
      <c r="D84" s="372"/>
      <c r="E84" s="373"/>
      <c r="F84" s="532"/>
      <c r="G84" s="532"/>
      <c r="H84" s="532"/>
    </row>
    <row r="85" spans="3:8" ht="30" customHeight="1" thickTop="1" thickBot="1" x14ac:dyDescent="0.4">
      <c r="C85" s="531"/>
      <c r="D85" s="372"/>
      <c r="E85" s="373"/>
      <c r="F85" s="532"/>
      <c r="G85" s="532"/>
      <c r="H85" s="532"/>
    </row>
    <row r="86" spans="3:8" ht="30" customHeight="1" thickTop="1" thickBot="1" x14ac:dyDescent="0.4">
      <c r="C86" s="531"/>
      <c r="D86" s="372"/>
      <c r="E86" s="373"/>
      <c r="F86" s="532"/>
      <c r="G86" s="532"/>
      <c r="H86" s="532"/>
    </row>
    <row r="87" spans="3:8" ht="30" customHeight="1" thickTop="1" thickBot="1" x14ac:dyDescent="0.4">
      <c r="C87" s="531"/>
      <c r="D87" s="372"/>
      <c r="E87" s="373"/>
      <c r="F87" s="532"/>
      <c r="G87" s="532"/>
      <c r="H87" s="532"/>
    </row>
    <row r="88" spans="3:8" ht="30" customHeight="1" thickTop="1" thickBot="1" x14ac:dyDescent="0.4">
      <c r="C88" s="531"/>
      <c r="D88" s="372"/>
      <c r="E88" s="373"/>
      <c r="F88" s="532"/>
      <c r="G88" s="532"/>
      <c r="H88" s="532"/>
    </row>
    <row r="89" spans="3:8" ht="30" customHeight="1" thickTop="1" thickBot="1" x14ac:dyDescent="0.4">
      <c r="C89" s="531"/>
      <c r="D89" s="372"/>
      <c r="E89" s="373"/>
      <c r="F89" s="532"/>
      <c r="G89" s="532"/>
      <c r="H89" s="532"/>
    </row>
    <row r="90" spans="3:8" ht="30" customHeight="1" thickTop="1" x14ac:dyDescent="0.35"/>
    <row r="91" spans="3:8" ht="30" customHeight="1" x14ac:dyDescent="0.35"/>
    <row r="92" spans="3:8" ht="30" customHeight="1" x14ac:dyDescent="0.35"/>
    <row r="93" spans="3:8" ht="30" customHeight="1" x14ac:dyDescent="0.35"/>
    <row r="94" spans="3:8" ht="14.5" hidden="1" x14ac:dyDescent="0.35"/>
  </sheetData>
  <mergeCells count="30">
    <mergeCell ref="G15:H15"/>
    <mergeCell ref="G25:H25"/>
    <mergeCell ref="G35:H35"/>
    <mergeCell ref="E80:F80"/>
    <mergeCell ref="E25:F25"/>
    <mergeCell ref="E35:F35"/>
    <mergeCell ref="E45:F45"/>
    <mergeCell ref="E55:F55"/>
    <mergeCell ref="E60:F60"/>
    <mergeCell ref="E73:F73"/>
    <mergeCell ref="G45:H45"/>
    <mergeCell ref="G55:H55"/>
    <mergeCell ref="G60:H60"/>
    <mergeCell ref="G73:H73"/>
    <mergeCell ref="G3:H3"/>
    <mergeCell ref="E3:F3"/>
    <mergeCell ref="N4:O4"/>
    <mergeCell ref="N15:O15"/>
    <mergeCell ref="N16:O16"/>
    <mergeCell ref="N3:O3"/>
    <mergeCell ref="L3:M3"/>
    <mergeCell ref="J16:K16"/>
    <mergeCell ref="L16:M16"/>
    <mergeCell ref="E4:F4"/>
    <mergeCell ref="K4:M4"/>
    <mergeCell ref="E5:F5"/>
    <mergeCell ref="E15:F15"/>
    <mergeCell ref="J15:M15"/>
    <mergeCell ref="G5:H5"/>
    <mergeCell ref="G4:H4"/>
  </mergeCells>
  <phoneticPr fontId="24" type="noConversion"/>
  <pageMargins left="0.511811024" right="0.511811024" top="0.78740157499999996" bottom="0.78740157499999996" header="0.31496062000000002" footer="0.31496062000000002"/>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ilha9"/>
  <dimension ref="A1:V100"/>
  <sheetViews>
    <sheetView showGridLines="0" zoomScaleNormal="100" workbookViewId="0">
      <pane ySplit="3" topLeftCell="A4" activePane="bottomLeft" state="frozen"/>
      <selection pane="bottomLeft" activeCell="D7" sqref="D7"/>
    </sheetView>
  </sheetViews>
  <sheetFormatPr defaultColWidth="0" defaultRowHeight="0" customHeight="1" zeroHeight="1" x14ac:dyDescent="0.35"/>
  <cols>
    <col min="1" max="2" width="1.6328125" customWidth="1"/>
    <col min="3" max="3" width="14.90625" customWidth="1"/>
    <col min="4" max="4" width="56" customWidth="1"/>
    <col min="5" max="5" width="22.36328125" bestFit="1" customWidth="1"/>
    <col min="6" max="6" width="14.6328125" customWidth="1"/>
    <col min="7" max="7" width="25.1796875" customWidth="1"/>
    <col min="8" max="8" width="14.6328125" customWidth="1"/>
    <col min="9" max="9" width="7.81640625" customWidth="1"/>
    <col min="10" max="10" width="17.1796875" customWidth="1"/>
    <col min="11" max="11" width="64.26953125" customWidth="1"/>
    <col min="12" max="12" width="21.54296875" bestFit="1" customWidth="1"/>
    <col min="13" max="13" width="18.7265625" customWidth="1"/>
    <col min="14" max="14" width="26.7265625" customWidth="1"/>
    <col min="15" max="15" width="15.36328125" customWidth="1"/>
    <col min="16" max="17" width="20.7265625" customWidth="1"/>
    <col min="18" max="22" width="0" hidden="1" customWidth="1"/>
    <col min="23" max="16384" width="9.1796875" hidden="1"/>
  </cols>
  <sheetData>
    <row r="1" spans="2:15" s="10" customFormat="1" ht="26.5" customHeight="1" x14ac:dyDescent="0.55000000000000004">
      <c r="B1" s="57"/>
      <c r="C1" s="57"/>
    </row>
    <row r="2" spans="2:15" s="10" customFormat="1" ht="23.25" customHeight="1" x14ac:dyDescent="0.35">
      <c r="B2" s="53" t="s">
        <v>1406</v>
      </c>
    </row>
    <row r="3" spans="2:15" ht="15" customHeight="1" thickBot="1" x14ac:dyDescent="0.4">
      <c r="E3" s="694" t="s">
        <v>1243</v>
      </c>
      <c r="F3" s="694"/>
      <c r="G3" s="694" t="s">
        <v>1244</v>
      </c>
      <c r="H3" s="694"/>
      <c r="L3" s="694" t="s">
        <v>1243</v>
      </c>
      <c r="M3" s="694"/>
      <c r="N3" s="696" t="s">
        <v>1244</v>
      </c>
      <c r="O3" s="696"/>
    </row>
    <row r="4" spans="2:15" ht="40" customHeight="1" thickTop="1" thickBot="1" x14ac:dyDescent="0.5">
      <c r="C4" s="92">
        <f>'Proveitos por Natureza'!J4</f>
        <v>3</v>
      </c>
      <c r="D4" s="671" t="s">
        <v>1417</v>
      </c>
      <c r="E4" s="672"/>
      <c r="F4" s="673"/>
      <c r="G4" s="377"/>
      <c r="H4" s="377"/>
      <c r="I4" s="93"/>
      <c r="J4" s="92">
        <f>'Custos por Natureza'!J4</f>
        <v>4</v>
      </c>
      <c r="K4" s="671" t="s">
        <v>1509</v>
      </c>
      <c r="L4" s="672"/>
      <c r="M4" s="673"/>
      <c r="N4" s="785"/>
      <c r="O4" s="786"/>
    </row>
    <row r="5" spans="2:15" ht="40" customHeight="1" thickTop="1" thickBot="1" x14ac:dyDescent="0.4">
      <c r="C5" s="30" t="str">
        <f>'Proveitos por Natureza'!J5</f>
        <v>3.1</v>
      </c>
      <c r="D5" s="32" t="str">
        <f>'Proveitos por Natureza'!K5</f>
        <v>Vendas</v>
      </c>
      <c r="E5" s="99">
        <f>IF(ISERROR('Proveitos por Natureza'!L5),"",'Proveitos por Natureza'!L5)</f>
        <v>0</v>
      </c>
      <c r="F5" s="91">
        <f>IF(ISERROR(E5/$E$14),"",E5/$E$14)</f>
        <v>0</v>
      </c>
      <c r="G5" s="99">
        <f>IF(ISERROR('Proveitos por Natureza'!N5),"",'Proveitos por Natureza'!N5)</f>
        <v>0</v>
      </c>
      <c r="H5" s="91"/>
      <c r="J5" s="30" t="str">
        <f>'Custos por Natureza'!J5</f>
        <v>4.1</v>
      </c>
      <c r="K5" s="32" t="str">
        <f>'Custos por Natureza'!K5</f>
        <v>Custo das Mercadorias Vendidas e das Matérias-primas Consumidas</v>
      </c>
      <c r="L5" s="99">
        <f>IF(ISERROR('Custos por Natureza'!L5),"",'Custos por Natureza'!L5)</f>
        <v>179684780.97</v>
      </c>
      <c r="M5" s="91">
        <f>IF(ISERROR(L5/$L$14),"",L5/$L$14)</f>
        <v>2.7468767566566566E-2</v>
      </c>
      <c r="N5" s="99">
        <f>IF(ISERROR('Custos por Natureza'!N5),"",'Custos por Natureza'!N5)</f>
        <v>0</v>
      </c>
      <c r="O5" s="68"/>
    </row>
    <row r="6" spans="2:15" ht="40" customHeight="1" thickTop="1" thickBot="1" x14ac:dyDescent="0.4">
      <c r="C6" s="30" t="str">
        <f>'Proveitos por Natureza'!J6</f>
        <v>3.2</v>
      </c>
      <c r="D6" s="32" t="str">
        <f>'Proveitos por Natureza'!K6</f>
        <v>Prestações de Serviço</v>
      </c>
      <c r="E6" s="99">
        <f>IF(ISERROR('Proveitos por Natureza'!L6),"",'Proveitos por Natureza'!L6)</f>
        <v>1769212327.72</v>
      </c>
      <c r="F6" s="91">
        <f t="shared" ref="F6:F13" si="0">IF(ISERROR(E6/$E$14),"",E6/$E$14)</f>
        <v>0.36349536880342487</v>
      </c>
      <c r="G6" s="99">
        <f>IF(ISERROR('Proveitos por Natureza'!N6),"",'Proveitos por Natureza'!N6)</f>
        <v>0</v>
      </c>
      <c r="H6" s="91"/>
      <c r="J6" s="30" t="str">
        <f>'Custos por Natureza'!J6</f>
        <v>4.2</v>
      </c>
      <c r="K6" s="32" t="str">
        <f>'Custos por Natureza'!K6</f>
        <v>Custos com o Pessoal</v>
      </c>
      <c r="L6" s="99">
        <f>IF(ISERROR('Custos por Natureza'!L6),"",'Custos por Natureza'!L6)</f>
        <v>3317851310.2799997</v>
      </c>
      <c r="M6" s="91">
        <f t="shared" ref="M6:M13" si="1">IF(ISERROR(L6/$L$14),"",L6/$L$14)</f>
        <v>0.5072064866624727</v>
      </c>
      <c r="N6" s="99">
        <f>IF(ISERROR('Custos por Natureza'!N6),"",'Custos por Natureza'!N6)</f>
        <v>0</v>
      </c>
      <c r="O6" s="68"/>
    </row>
    <row r="7" spans="2:15" ht="40" customHeight="1" thickTop="1" thickBot="1" x14ac:dyDescent="0.4">
      <c r="C7" s="30" t="str">
        <f>'Proveitos por Natureza'!J7</f>
        <v>3.3</v>
      </c>
      <c r="D7" s="32" t="str">
        <f>'Proveitos por Natureza'!K7</f>
        <v>Outros Proveitos Operacionais</v>
      </c>
      <c r="E7" s="99">
        <f>IF(ISERROR('Proveitos por Natureza'!L7),"",'Proveitos por Natureza'!L7)</f>
        <v>3062918878.1999998</v>
      </c>
      <c r="F7" s="91">
        <f t="shared" si="0"/>
        <v>0.62929520092202518</v>
      </c>
      <c r="G7" s="99">
        <f>IF(ISERROR('Proveitos por Natureza'!N7),"",'Proveitos por Natureza'!N7)</f>
        <v>0</v>
      </c>
      <c r="H7" s="91"/>
      <c r="J7" s="30" t="str">
        <f>'Custos por Natureza'!J7</f>
        <v>4.3</v>
      </c>
      <c r="K7" s="32" t="str">
        <f>'Custos por Natureza'!K7</f>
        <v>Amortizações do Exercício</v>
      </c>
      <c r="L7" s="99">
        <f>IF(ISERROR('Custos por Natureza'!L7),"",'Custos por Natureza'!L7)</f>
        <v>508397950.43000001</v>
      </c>
      <c r="M7" s="91">
        <f t="shared" si="1"/>
        <v>7.7719799396990086E-2</v>
      </c>
      <c r="N7" s="99">
        <f>IF(ISERROR('Custos por Natureza'!N7),"",'Custos por Natureza'!N7)</f>
        <v>0</v>
      </c>
      <c r="O7" s="68"/>
    </row>
    <row r="8" spans="2:15" ht="40" customHeight="1" thickTop="1" thickBot="1" x14ac:dyDescent="0.4">
      <c r="C8" s="30" t="str">
        <f>'Proveitos por Natureza'!J8</f>
        <v>3.4</v>
      </c>
      <c r="D8" s="32" t="str">
        <f>'Proveitos por Natureza'!K8</f>
        <v>Varição nos Produtos Acabados e Produtos em Vias de Fabrico</v>
      </c>
      <c r="E8" s="99">
        <f>IF(ISERROR('Proveitos por Natureza'!L8),"",'Proveitos por Natureza'!L8)</f>
        <v>0</v>
      </c>
      <c r="F8" s="91">
        <f t="shared" si="0"/>
        <v>0</v>
      </c>
      <c r="G8" s="99">
        <f>IF(ISERROR('Proveitos por Natureza'!N8),"",'Proveitos por Natureza'!N8)</f>
        <v>0</v>
      </c>
      <c r="H8" s="91"/>
      <c r="J8" s="30" t="str">
        <f>'Custos por Natureza'!J8</f>
        <v>4.4</v>
      </c>
      <c r="K8" s="32" t="str">
        <f>'Custos por Natureza'!K8</f>
        <v>Outros Custos e Perdas Operacionais</v>
      </c>
      <c r="L8" s="99">
        <f>IF(ISERROR('Custos por Natureza'!L8),"",'Custos por Natureza'!L8)</f>
        <v>1500182672.03</v>
      </c>
      <c r="M8" s="91">
        <f t="shared" si="1"/>
        <v>0.22933588978948033</v>
      </c>
      <c r="N8" s="99">
        <f>IF(ISERROR('Custos por Natureza'!N8),"",'Custos por Natureza'!N8)</f>
        <v>0</v>
      </c>
      <c r="O8" s="68"/>
    </row>
    <row r="9" spans="2:15" ht="40" customHeight="1" thickTop="1" thickBot="1" x14ac:dyDescent="0.4">
      <c r="C9" s="30" t="str">
        <f>'Proveitos por Natureza'!J9</f>
        <v>3.5</v>
      </c>
      <c r="D9" s="32" t="str">
        <f>'Proveitos por Natureza'!K9</f>
        <v>Trabalhos para a Própria Empresa</v>
      </c>
      <c r="E9" s="99">
        <f>IF(ISERROR('Proveitos por Natureza'!L9),"",'Proveitos por Natureza'!L9)</f>
        <v>0</v>
      </c>
      <c r="F9" s="91">
        <f t="shared" si="0"/>
        <v>0</v>
      </c>
      <c r="G9" s="99">
        <f>IF(ISERROR('Proveitos por Natureza'!N9),"",'Proveitos por Natureza'!N9)</f>
        <v>0</v>
      </c>
      <c r="H9" s="91"/>
      <c r="J9" s="30" t="str">
        <f>'Custos por Natureza'!J9</f>
        <v>4.5</v>
      </c>
      <c r="K9" s="32" t="str">
        <f>'Custos por Natureza'!K9</f>
        <v>Custos e Perdas Financeiras Gerais</v>
      </c>
      <c r="L9" s="99">
        <f>IF(ISERROR('Custos por Natureza'!L9),"",'Custos por Natureza'!L9)</f>
        <v>15878780.16</v>
      </c>
      <c r="M9" s="91">
        <f t="shared" si="1"/>
        <v>2.4274205032894314E-3</v>
      </c>
      <c r="N9" s="99">
        <f>IF(ISERROR('Custos por Natureza'!N9),"",'Custos por Natureza'!N9)</f>
        <v>0</v>
      </c>
      <c r="O9" s="68"/>
    </row>
    <row r="10" spans="2:15" ht="40" customHeight="1" thickTop="1" thickBot="1" x14ac:dyDescent="0.4">
      <c r="C10" s="30" t="str">
        <f>'Proveitos por Natureza'!J10</f>
        <v>3.6</v>
      </c>
      <c r="D10" s="32" t="str">
        <f>'Proveitos por Natureza'!K10</f>
        <v>Proveitos e Ganhos Financeiros Gerais</v>
      </c>
      <c r="E10" s="99">
        <f>IF(ISERROR('Proveitos por Natureza'!L10),"",'Proveitos por Natureza'!L10)</f>
        <v>10089891.130000001</v>
      </c>
      <c r="F10" s="91">
        <f t="shared" si="0"/>
        <v>2.0730291328075142E-3</v>
      </c>
      <c r="G10" s="99">
        <f>IF(ISERROR('Proveitos por Natureza'!N10),"",'Proveitos por Natureza'!N10)</f>
        <v>0</v>
      </c>
      <c r="H10" s="91"/>
      <c r="J10" s="30" t="str">
        <f>'Custos por Natureza'!J10</f>
        <v>4.6</v>
      </c>
      <c r="K10" s="32" t="str">
        <f>'Custos por Natureza'!K10</f>
        <v>Custos e Perdas Financeiras para Filiais e Associadas</v>
      </c>
      <c r="L10" s="99">
        <f>IF(ISERROR('Custos por Natureza'!L10),"",'Custos por Natureza'!L10)</f>
        <v>0</v>
      </c>
      <c r="M10" s="91">
        <f t="shared" si="1"/>
        <v>0</v>
      </c>
      <c r="N10" s="99">
        <f>IF(ISERROR('Custos por Natureza'!N10),"",'Custos por Natureza'!N10)</f>
        <v>0</v>
      </c>
      <c r="O10" s="68"/>
    </row>
    <row r="11" spans="2:15" ht="40" customHeight="1" thickTop="1" thickBot="1" x14ac:dyDescent="0.4">
      <c r="C11" s="30" t="str">
        <f>'Proveitos por Natureza'!J11</f>
        <v>3.7</v>
      </c>
      <c r="D11" s="32" t="str">
        <f>'Proveitos por Natureza'!K11</f>
        <v>Proveitos e Ganhos Financeiros em Susidiárias e Associadas</v>
      </c>
      <c r="E11" s="99">
        <f>IF(ISERROR('Proveitos por Natureza'!L11),"",'Proveitos por Natureza'!L11)</f>
        <v>0</v>
      </c>
      <c r="F11" s="91">
        <f t="shared" si="0"/>
        <v>0</v>
      </c>
      <c r="G11" s="99">
        <f>IF(ISERROR('Proveitos por Natureza'!N11),"",'Proveitos por Natureza'!N11)</f>
        <v>0</v>
      </c>
      <c r="H11" s="91"/>
      <c r="J11" s="30" t="str">
        <f>'Custos por Natureza'!J11</f>
        <v>4.7</v>
      </c>
      <c r="K11" s="32" t="str">
        <f>'Custos por Natureza'!K11</f>
        <v>Outros Custos e Perdas não Operacionais</v>
      </c>
      <c r="L11" s="99">
        <f>IF(ISERROR('Custos por Natureza'!L11),"",'Custos por Natureza'!L11)</f>
        <v>1019425796.13</v>
      </c>
      <c r="M11" s="91">
        <f t="shared" si="1"/>
        <v>0.15584163608120097</v>
      </c>
      <c r="N11" s="99">
        <f>IF(ISERROR('Custos por Natureza'!N11),"",'Custos por Natureza'!N11)</f>
        <v>0</v>
      </c>
      <c r="O11" s="68"/>
    </row>
    <row r="12" spans="2:15" ht="40" customHeight="1" thickTop="1" thickBot="1" x14ac:dyDescent="0.4">
      <c r="C12" s="30" t="str">
        <f>'Proveitos por Natureza'!J12</f>
        <v>3.8</v>
      </c>
      <c r="D12" s="32" t="str">
        <f>'Proveitos por Natureza'!K12</f>
        <v>Outros Proveitos e Ganhos não Operacionais</v>
      </c>
      <c r="E12" s="99">
        <f>IF(ISERROR('Proveitos por Natureza'!L12),"",'Proveitos por Natureza'!L12)</f>
        <v>25000000</v>
      </c>
      <c r="F12" s="91">
        <f t="shared" si="0"/>
        <v>5.1364011417423345E-3</v>
      </c>
      <c r="G12" s="99">
        <f>IF(ISERROR('Proveitos por Natureza'!N12),"",'Proveitos por Natureza'!N12)</f>
        <v>0</v>
      </c>
      <c r="H12" s="91"/>
      <c r="J12" s="30" t="str">
        <f>'Custos por Natureza'!J12</f>
        <v>4.8</v>
      </c>
      <c r="K12" s="32" t="str">
        <f>'Custos por Natureza'!K12</f>
        <v>Custos e Perdas Extraordinários</v>
      </c>
      <c r="L12" s="99">
        <f>IF(ISERROR('Custos por Natureza'!L12),"",'Custos por Natureza'!L12)</f>
        <v>0</v>
      </c>
      <c r="M12" s="91">
        <f t="shared" si="1"/>
        <v>0</v>
      </c>
      <c r="N12" s="99">
        <f>IF(ISERROR('Custos por Natureza'!N12),"",'Custos por Natureza'!N12)</f>
        <v>0</v>
      </c>
      <c r="O12" s="68"/>
    </row>
    <row r="13" spans="2:15" ht="40" customHeight="1" thickTop="1" thickBot="1" x14ac:dyDescent="0.4">
      <c r="C13" s="30" t="str">
        <f>'Proveitos por Natureza'!J13</f>
        <v>3.9</v>
      </c>
      <c r="D13" s="32" t="str">
        <f>'Proveitos por Natureza'!K13</f>
        <v>Proveitos e Ganhos Extraordinários</v>
      </c>
      <c r="E13" s="99">
        <f>IF(ISERROR('Proveitos por Natureza'!L13),"",'Proveitos por Natureza'!L13)</f>
        <v>0</v>
      </c>
      <c r="F13" s="91">
        <f t="shared" si="0"/>
        <v>0</v>
      </c>
      <c r="G13" s="99">
        <f>IF(ISERROR('Proveitos por Natureza'!N13),"",'Proveitos por Natureza'!N13)</f>
        <v>0</v>
      </c>
      <c r="H13" s="91"/>
      <c r="J13" s="30">
        <f>'Custos por Natureza'!J13</f>
        <v>0</v>
      </c>
      <c r="K13" s="32">
        <f>'Custos por Natureza'!K13</f>
        <v>0</v>
      </c>
      <c r="L13" s="99">
        <f>IF(ISERROR('Custos por Natureza'!L13),"",'Custos por Natureza'!L13)</f>
        <v>0</v>
      </c>
      <c r="M13" s="91">
        <f t="shared" si="1"/>
        <v>0</v>
      </c>
      <c r="N13" s="99">
        <f>IF(ISERROR('Custos por Natureza'!N13),"",'Custos por Natureza'!N13)</f>
        <v>0</v>
      </c>
      <c r="O13" s="68"/>
    </row>
    <row r="14" spans="2:15" ht="40" customHeight="1" thickTop="1" thickBot="1" x14ac:dyDescent="0.4">
      <c r="C14" s="688" t="s">
        <v>1510</v>
      </c>
      <c r="D14" s="688"/>
      <c r="E14" s="665">
        <f>IF(ISERROR(SUM(E5:E13)),"",SUM(E5:E13))</f>
        <v>4867221097.0500002</v>
      </c>
      <c r="F14" s="666"/>
      <c r="G14" s="665">
        <f>IF(ISERROR(SUM(G5:G13)),"",SUM(G5:G13))</f>
        <v>0</v>
      </c>
      <c r="H14" s="666"/>
      <c r="J14" s="688" t="s">
        <v>1511</v>
      </c>
      <c r="K14" s="688"/>
      <c r="L14" s="665">
        <f>IF(ISERROR(SUM(L5:L13)),"",SUM(L5:L13))</f>
        <v>6541421289.999999</v>
      </c>
      <c r="M14" s="666"/>
      <c r="N14" s="665">
        <f>IF(ISERROR(SUM(N5:N13)),"",SUM(N5:N13))</f>
        <v>0</v>
      </c>
      <c r="O14" s="666"/>
    </row>
    <row r="15" spans="2:15" ht="40" customHeight="1" thickTop="1" thickBot="1" x14ac:dyDescent="0.4">
      <c r="E15" s="309"/>
      <c r="F15" s="309"/>
      <c r="G15" s="309"/>
      <c r="H15" s="309"/>
    </row>
    <row r="16" spans="2:15" ht="40" customHeight="1" thickTop="1" thickBot="1" x14ac:dyDescent="0.4">
      <c r="C16" s="671" t="s">
        <v>1512</v>
      </c>
      <c r="D16" s="672"/>
      <c r="E16" s="672"/>
      <c r="F16" s="673"/>
      <c r="G16" s="233"/>
      <c r="H16" s="233"/>
    </row>
    <row r="17" spans="3:13" ht="40" customHeight="1" thickTop="1" thickBot="1" x14ac:dyDescent="0.4">
      <c r="C17" s="756" t="s">
        <v>1513</v>
      </c>
      <c r="D17" s="757"/>
      <c r="E17" s="110">
        <f>IF(ISERROR($E$14),"",$E$14)</f>
        <v>4867221097.0500002</v>
      </c>
      <c r="F17" s="91">
        <f>IF(ISERROR($E$17/$I$17),"",$E$17/$I$17)</f>
        <v>0.42662579226559022</v>
      </c>
      <c r="G17" s="110">
        <f>IF(ISERROR($G$14),"",$G$14)</f>
        <v>0</v>
      </c>
      <c r="H17" s="91"/>
      <c r="I17" s="8">
        <f>IF(ISERROR(SUM(E17:E18)),"",SUM(E17:E18))</f>
        <v>11408642387.049999</v>
      </c>
    </row>
    <row r="18" spans="3:13" ht="40" customHeight="1" thickTop="1" thickBot="1" x14ac:dyDescent="0.4">
      <c r="C18" s="756" t="s">
        <v>1514</v>
      </c>
      <c r="D18" s="757"/>
      <c r="E18" s="110">
        <f>IF(ISERROR($L$14),"",$L$14)</f>
        <v>6541421289.999999</v>
      </c>
      <c r="F18" s="91">
        <f>IF(ISERROR($E$18/$I$17),"",$E$18/$I$17)</f>
        <v>0.57337420773440984</v>
      </c>
      <c r="G18" s="110">
        <f>IF(ISERROR($N$14),"",$N$14)</f>
        <v>0</v>
      </c>
      <c r="H18" s="91"/>
      <c r="M18" s="65"/>
    </row>
    <row r="19" spans="3:13" ht="40" customHeight="1" thickTop="1" thickBot="1" x14ac:dyDescent="0.4">
      <c r="C19" s="756" t="s">
        <v>1515</v>
      </c>
      <c r="D19" s="757"/>
      <c r="E19" s="703">
        <f>IF(ISERROR(E17-E18),"",E17-E18)</f>
        <v>-1674200192.9499989</v>
      </c>
      <c r="F19" s="703"/>
      <c r="G19" s="703">
        <f>IF(ISERROR(G17-G18),"",G17-G18)</f>
        <v>0</v>
      </c>
      <c r="H19" s="703"/>
      <c r="M19" s="65"/>
    </row>
    <row r="20" spans="3:13" ht="30" customHeight="1" thickTop="1" thickBot="1" x14ac:dyDescent="0.4">
      <c r="C20" s="67"/>
      <c r="D20" s="67"/>
      <c r="M20" s="61"/>
    </row>
    <row r="21" spans="3:13" ht="30" customHeight="1" thickTop="1" thickBot="1" x14ac:dyDescent="0.4">
      <c r="C21" s="790" t="s">
        <v>741</v>
      </c>
      <c r="D21" s="791"/>
      <c r="E21" s="417">
        <f>SUM(E5:E7)-SUM(L5:L8)</f>
        <v>-673985507.78999901</v>
      </c>
      <c r="F21" s="69"/>
      <c r="G21" s="417">
        <f>SUM(G5:G7)-SUM(N5:N8)</f>
        <v>0</v>
      </c>
      <c r="H21" s="69"/>
    </row>
    <row r="22" spans="3:13" ht="30" customHeight="1" thickTop="1" thickBot="1" x14ac:dyDescent="0.4">
      <c r="C22" s="790" t="s">
        <v>1225</v>
      </c>
      <c r="D22" s="791"/>
      <c r="E22" s="417">
        <f>E10-L9</f>
        <v>-5788889.0299999993</v>
      </c>
      <c r="F22" s="68"/>
      <c r="G22" s="417">
        <f>G10-N9</f>
        <v>0</v>
      </c>
      <c r="H22" s="68"/>
    </row>
    <row r="23" spans="3:13" ht="30" customHeight="1" thickTop="1" thickBot="1" x14ac:dyDescent="0.4">
      <c r="C23" s="788" t="s">
        <v>1516</v>
      </c>
      <c r="D23" s="789"/>
      <c r="E23" s="417">
        <f>E12-L11</f>
        <v>-994425796.13</v>
      </c>
      <c r="F23" s="68"/>
      <c r="G23" s="417">
        <f>-(G12-N11)</f>
        <v>0</v>
      </c>
      <c r="H23" s="68"/>
      <c r="J23" s="136"/>
    </row>
    <row r="24" spans="3:13" ht="30" customHeight="1" thickTop="1" thickBot="1" x14ac:dyDescent="0.4">
      <c r="C24" s="788" t="s">
        <v>1517</v>
      </c>
      <c r="D24" s="789"/>
      <c r="E24" s="417">
        <f>E21+E22+E23</f>
        <v>-1674200192.9499989</v>
      </c>
      <c r="F24" s="68"/>
      <c r="G24" s="417">
        <f>G21+G22+G23</f>
        <v>0</v>
      </c>
      <c r="H24" s="68"/>
    </row>
    <row r="25" spans="3:13" ht="30" customHeight="1" thickTop="1" thickBot="1" x14ac:dyDescent="0.4">
      <c r="C25" s="788" t="s">
        <v>1518</v>
      </c>
      <c r="D25" s="789"/>
      <c r="E25" s="417"/>
      <c r="F25" s="68"/>
      <c r="G25" s="417">
        <v>4562352.96</v>
      </c>
      <c r="H25" s="68"/>
    </row>
    <row r="26" spans="3:13" ht="30" customHeight="1" thickTop="1" thickBot="1" x14ac:dyDescent="0.4">
      <c r="C26" s="788" t="s">
        <v>1519</v>
      </c>
      <c r="D26" s="789"/>
      <c r="E26" s="533">
        <f>E24-E25</f>
        <v>-1674200192.9499989</v>
      </c>
      <c r="F26" s="534"/>
      <c r="G26" s="533">
        <f>G24-G25</f>
        <v>-4562352.96</v>
      </c>
      <c r="H26" s="68"/>
    </row>
    <row r="27" spans="3:13" ht="30" customHeight="1" thickTop="1" thickBot="1" x14ac:dyDescent="0.4">
      <c r="C27" s="788" t="s">
        <v>1205</v>
      </c>
      <c r="D27" s="789"/>
      <c r="E27" s="417"/>
      <c r="F27" s="68"/>
      <c r="G27" s="258"/>
      <c r="H27" s="68"/>
    </row>
    <row r="28" spans="3:13" ht="30" customHeight="1" thickTop="1" x14ac:dyDescent="0.35">
      <c r="C28" s="787"/>
      <c r="D28" s="787"/>
      <c r="E28" s="136"/>
    </row>
    <row r="29" spans="3:13" ht="30" customHeight="1" x14ac:dyDescent="0.35">
      <c r="C29" s="628"/>
      <c r="D29" s="628"/>
      <c r="E29" s="136"/>
    </row>
    <row r="30" spans="3:13" ht="30" customHeight="1" x14ac:dyDescent="0.35">
      <c r="C30" s="628"/>
      <c r="D30" s="628"/>
      <c r="E30" s="136"/>
      <c r="G30" s="136"/>
    </row>
    <row r="31" spans="3:13" ht="30" customHeight="1" x14ac:dyDescent="0.35">
      <c r="E31" s="136"/>
    </row>
    <row r="32" spans="3:13" ht="30" customHeight="1" x14ac:dyDescent="0.35"/>
    <row r="33" ht="30" customHeight="1" x14ac:dyDescent="0.35"/>
    <row r="34" ht="30" customHeight="1" x14ac:dyDescent="0.35"/>
    <row r="35" ht="30" customHeight="1" x14ac:dyDescent="0.35"/>
    <row r="36" ht="30" customHeight="1" x14ac:dyDescent="0.35"/>
    <row r="37" ht="30" customHeight="1" x14ac:dyDescent="0.35"/>
    <row r="38" ht="30" customHeight="1" x14ac:dyDescent="0.35"/>
    <row r="39" ht="30" customHeight="1" x14ac:dyDescent="0.35"/>
    <row r="40" ht="30" customHeight="1" x14ac:dyDescent="0.35"/>
    <row r="41" ht="30" customHeight="1" x14ac:dyDescent="0.35"/>
    <row r="42" ht="30" customHeight="1" x14ac:dyDescent="0.35"/>
    <row r="43" ht="30" customHeight="1" x14ac:dyDescent="0.35"/>
    <row r="44" ht="30" customHeight="1" x14ac:dyDescent="0.35"/>
    <row r="45" ht="30" customHeight="1" x14ac:dyDescent="0.35"/>
    <row r="46" ht="30" customHeight="1" x14ac:dyDescent="0.35"/>
    <row r="47" ht="30" customHeight="1" x14ac:dyDescent="0.35"/>
    <row r="48" ht="30" customHeight="1" x14ac:dyDescent="0.35"/>
    <row r="49" ht="30" customHeight="1" x14ac:dyDescent="0.35"/>
    <row r="50" ht="30" customHeight="1" x14ac:dyDescent="0.35"/>
    <row r="51" ht="30" customHeight="1" x14ac:dyDescent="0.35"/>
    <row r="52" ht="30" customHeight="1" x14ac:dyDescent="0.35"/>
    <row r="53" ht="30" customHeight="1" x14ac:dyDescent="0.35"/>
    <row r="54" ht="30" customHeight="1" x14ac:dyDescent="0.35"/>
    <row r="55" ht="30" customHeight="1" x14ac:dyDescent="0.35"/>
    <row r="56" ht="30" customHeight="1" x14ac:dyDescent="0.35"/>
    <row r="57" ht="30" customHeight="1" x14ac:dyDescent="0.35"/>
    <row r="58" ht="30" customHeight="1" x14ac:dyDescent="0.35"/>
    <row r="59" ht="30" customHeight="1" x14ac:dyDescent="0.35"/>
    <row r="60" ht="30" customHeight="1" x14ac:dyDescent="0.35"/>
    <row r="61" ht="30" customHeight="1" x14ac:dyDescent="0.35"/>
    <row r="62" ht="30" customHeight="1" x14ac:dyDescent="0.35"/>
    <row r="63" ht="30" customHeight="1" x14ac:dyDescent="0.35"/>
    <row r="64" ht="30" customHeight="1" x14ac:dyDescent="0.35"/>
    <row r="65" ht="30" customHeight="1" x14ac:dyDescent="0.35"/>
    <row r="66" ht="30" customHeight="1" x14ac:dyDescent="0.35"/>
    <row r="67" ht="30" customHeight="1" x14ac:dyDescent="0.35"/>
    <row r="68" ht="30" customHeight="1" x14ac:dyDescent="0.35"/>
    <row r="69" ht="30" customHeight="1" x14ac:dyDescent="0.35"/>
    <row r="70" ht="30" customHeight="1" x14ac:dyDescent="0.35"/>
    <row r="71" ht="30" customHeight="1" x14ac:dyDescent="0.35"/>
    <row r="72" ht="30" customHeight="1" x14ac:dyDescent="0.35"/>
    <row r="73" ht="30" customHeight="1" x14ac:dyDescent="0.35"/>
    <row r="74" ht="30" customHeight="1" x14ac:dyDescent="0.35"/>
    <row r="75" ht="30" customHeight="1" x14ac:dyDescent="0.35"/>
    <row r="76" ht="30" customHeight="1" x14ac:dyDescent="0.35"/>
    <row r="77" ht="30" customHeight="1" x14ac:dyDescent="0.35"/>
    <row r="78" ht="30" customHeight="1" x14ac:dyDescent="0.35"/>
    <row r="79" ht="30" customHeight="1" x14ac:dyDescent="0.35"/>
    <row r="80" ht="30" customHeight="1" x14ac:dyDescent="0.35"/>
    <row r="81" ht="30" customHeight="1" x14ac:dyDescent="0.35"/>
    <row r="82" ht="30" customHeight="1" x14ac:dyDescent="0.35"/>
    <row r="83" ht="30" customHeight="1" x14ac:dyDescent="0.35"/>
    <row r="84" ht="30" customHeight="1" x14ac:dyDescent="0.35"/>
    <row r="85" ht="30" customHeight="1" x14ac:dyDescent="0.35"/>
    <row r="86" ht="30" customHeight="1" x14ac:dyDescent="0.35"/>
    <row r="87" ht="30" customHeight="1" x14ac:dyDescent="0.35"/>
    <row r="88" ht="30" customHeight="1" x14ac:dyDescent="0.35"/>
    <row r="89" ht="30" customHeight="1" x14ac:dyDescent="0.35"/>
    <row r="90" ht="30" customHeight="1" x14ac:dyDescent="0.35"/>
    <row r="91" ht="30" customHeight="1" x14ac:dyDescent="0.35"/>
    <row r="92" ht="30" customHeight="1" x14ac:dyDescent="0.35"/>
    <row r="93" ht="30" customHeight="1" x14ac:dyDescent="0.35"/>
    <row r="94" ht="30" customHeight="1" x14ac:dyDescent="0.35"/>
    <row r="95" ht="30" customHeight="1" x14ac:dyDescent="0.35"/>
    <row r="96" ht="30" customHeight="1" x14ac:dyDescent="0.35"/>
    <row r="97" ht="30" customHeight="1" x14ac:dyDescent="0.35"/>
    <row r="98" ht="30" customHeight="1" x14ac:dyDescent="0.35"/>
    <row r="99" ht="30" customHeight="1" x14ac:dyDescent="0.35"/>
    <row r="100" ht="14.5" x14ac:dyDescent="0.35"/>
  </sheetData>
  <mergeCells count="29">
    <mergeCell ref="J14:K14"/>
    <mergeCell ref="C16:F16"/>
    <mergeCell ref="C17:D17"/>
    <mergeCell ref="G19:H19"/>
    <mergeCell ref="C29:D29"/>
    <mergeCell ref="C30:D30"/>
    <mergeCell ref="C27:D27"/>
    <mergeCell ref="C21:D21"/>
    <mergeCell ref="C22:D22"/>
    <mergeCell ref="C23:D23"/>
    <mergeCell ref="C24:D24"/>
    <mergeCell ref="C26:D26"/>
    <mergeCell ref="C25:D25"/>
    <mergeCell ref="N4:O4"/>
    <mergeCell ref="N14:O14"/>
    <mergeCell ref="N3:O3"/>
    <mergeCell ref="L3:M3"/>
    <mergeCell ref="C28:D28"/>
    <mergeCell ref="K4:M4"/>
    <mergeCell ref="L14:M14"/>
    <mergeCell ref="C18:D18"/>
    <mergeCell ref="D4:F4"/>
    <mergeCell ref="E14:F14"/>
    <mergeCell ref="C14:D14"/>
    <mergeCell ref="G14:H14"/>
    <mergeCell ref="E3:F3"/>
    <mergeCell ref="G3:H3"/>
    <mergeCell ref="C19:D19"/>
    <mergeCell ref="E19:F19"/>
  </mergeCells>
  <pageMargins left="0.511811024" right="0.511811024" top="0.78740157499999996" bottom="0.78740157499999996" header="0.31496062000000002" footer="0.31496062000000002"/>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Planilha10"/>
  <dimension ref="A1:S531"/>
  <sheetViews>
    <sheetView showGridLines="0" zoomScale="144" zoomScaleNormal="100" workbookViewId="0">
      <pane ySplit="2" topLeftCell="A3" activePane="bottomLeft" state="frozen"/>
      <selection pane="bottomLeft"/>
    </sheetView>
  </sheetViews>
  <sheetFormatPr defaultColWidth="0" defaultRowHeight="14.5" zeroHeight="1" x14ac:dyDescent="0.35"/>
  <cols>
    <col min="1" max="1" width="2.54296875" customWidth="1"/>
    <col min="2" max="2" width="2.7265625" customWidth="1"/>
    <col min="3" max="3" width="9.1796875" customWidth="1"/>
    <col min="4" max="18" width="20.7265625" customWidth="1"/>
    <col min="19" max="19" width="0" hidden="1" customWidth="1"/>
    <col min="20" max="16384" width="9.1796875" hidden="1"/>
  </cols>
  <sheetData>
    <row r="1" spans="2:12" s="10" customFormat="1" ht="26.5" customHeight="1" x14ac:dyDescent="0.55000000000000004">
      <c r="C1" s="57"/>
    </row>
    <row r="2" spans="2:12" s="10" customFormat="1" ht="23.25" customHeight="1" x14ac:dyDescent="0.35">
      <c r="B2" s="537" t="s">
        <v>1406</v>
      </c>
    </row>
    <row r="3" spans="2:12" ht="15" customHeight="1" x14ac:dyDescent="0.35"/>
    <row r="4" spans="2:12" ht="30" customHeight="1" x14ac:dyDescent="0.35">
      <c r="C4" s="9" t="s">
        <v>1520</v>
      </c>
      <c r="D4" s="9"/>
      <c r="E4" s="9"/>
      <c r="F4" s="9"/>
    </row>
    <row r="5" spans="2:12" ht="30" customHeight="1" x14ac:dyDescent="0.35"/>
    <row r="6" spans="2:12" ht="30" customHeight="1" x14ac:dyDescent="0.35"/>
    <row r="7" spans="2:12" ht="30" customHeight="1" x14ac:dyDescent="0.35"/>
    <row r="8" spans="2:12" ht="30" customHeight="1" x14ac:dyDescent="0.35"/>
    <row r="9" spans="2:12" ht="30" customHeight="1" x14ac:dyDescent="0.35"/>
    <row r="10" spans="2:12" ht="30" customHeight="1" x14ac:dyDescent="0.35"/>
    <row r="11" spans="2:12" ht="30" customHeight="1" x14ac:dyDescent="0.35"/>
    <row r="12" spans="2:12" ht="30" customHeight="1" x14ac:dyDescent="0.35">
      <c r="L12" s="10"/>
    </row>
    <row r="13" spans="2:12" ht="30" customHeight="1" x14ac:dyDescent="0.35">
      <c r="C13" s="9"/>
      <c r="D13" s="9"/>
      <c r="E13" s="9"/>
      <c r="F13" s="9"/>
    </row>
    <row r="14" spans="2:12" ht="30" customHeight="1" x14ac:dyDescent="0.35">
      <c r="C14" s="9" t="s">
        <v>1521</v>
      </c>
      <c r="D14" s="9"/>
      <c r="E14" s="9"/>
      <c r="F14" s="9"/>
    </row>
    <row r="15" spans="2:12" ht="30" customHeight="1" x14ac:dyDescent="0.35"/>
    <row r="16" spans="2:12" ht="30" customHeight="1" x14ac:dyDescent="0.35"/>
    <row r="17" spans="3:6" ht="30" customHeight="1" x14ac:dyDescent="0.35"/>
    <row r="18" spans="3:6" ht="30" customHeight="1" x14ac:dyDescent="0.35"/>
    <row r="19" spans="3:6" ht="30" customHeight="1" x14ac:dyDescent="0.35"/>
    <row r="20" spans="3:6" ht="30" customHeight="1" x14ac:dyDescent="0.35"/>
    <row r="21" spans="3:6" ht="30" customHeight="1" x14ac:dyDescent="0.35"/>
    <row r="22" spans="3:6" ht="30" customHeight="1" x14ac:dyDescent="0.35"/>
    <row r="23" spans="3:6" ht="30" customHeight="1" x14ac:dyDescent="0.35"/>
    <row r="24" spans="3:6" ht="30" customHeight="1" x14ac:dyDescent="0.35">
      <c r="C24" s="9" t="s">
        <v>1522</v>
      </c>
      <c r="D24" s="9"/>
      <c r="E24" s="9"/>
      <c r="F24" s="9"/>
    </row>
    <row r="25" spans="3:6" ht="30" customHeight="1" x14ac:dyDescent="0.35"/>
    <row r="26" spans="3:6" ht="30" customHeight="1" x14ac:dyDescent="0.35"/>
    <row r="27" spans="3:6" ht="30" customHeight="1" x14ac:dyDescent="0.35"/>
    <row r="28" spans="3:6" ht="30" customHeight="1" x14ac:dyDescent="0.35"/>
    <row r="29" spans="3:6" ht="30" customHeight="1" x14ac:dyDescent="0.35"/>
    <row r="30" spans="3:6" ht="30" customHeight="1" x14ac:dyDescent="0.35"/>
    <row r="31" spans="3:6" ht="30" customHeight="1" x14ac:dyDescent="0.35"/>
    <row r="32" spans="3:6" ht="30" customHeight="1" x14ac:dyDescent="0.35"/>
    <row r="33" spans="3:14" ht="30" customHeight="1" x14ac:dyDescent="0.35"/>
    <row r="34" spans="3:14" ht="30" customHeight="1" x14ac:dyDescent="0.35">
      <c r="C34" s="9" t="s">
        <v>1523</v>
      </c>
      <c r="D34" s="9"/>
      <c r="E34" s="9"/>
      <c r="F34" s="9"/>
    </row>
    <row r="35" spans="3:14" ht="30" customHeight="1" x14ac:dyDescent="0.35">
      <c r="L35" s="2" t="s">
        <v>1524</v>
      </c>
      <c r="M35" s="2"/>
      <c r="N35" s="2"/>
    </row>
    <row r="36" spans="3:14" ht="30" customHeight="1" x14ac:dyDescent="0.35">
      <c r="L36" s="2" t="str">
        <f>IF(ISERROR('Activos Correntes'!$D$4),"",'Activos Correntes'!$D$4)</f>
        <v>Activos Correntes (Bens e Direitos)</v>
      </c>
      <c r="M36" s="8">
        <f>IF(ISERROR('Activos Correntes'!$E$4),"",'Activos Correntes'!$E$4)</f>
        <v>1565093126.4300001</v>
      </c>
      <c r="N36" s="11">
        <f>IF(ISERROR($M$36/$M$40),"",$M$36/$M$40)</f>
        <v>0.22525548885114982</v>
      </c>
    </row>
    <row r="37" spans="3:14" ht="30" customHeight="1" x14ac:dyDescent="0.35">
      <c r="L37" s="2" t="str">
        <f>IF(ISERROR('Activos Não Correntes'!$D$4),"",'Activos Não Correntes'!$D$4)</f>
        <v xml:space="preserve">Activos Não Correntes </v>
      </c>
      <c r="M37" s="8">
        <f>IF(ISERROR('Activos Não Correntes'!$E$4),"",'Activos Não Correntes'!$E$4)</f>
        <v>3444950457.0999999</v>
      </c>
      <c r="N37" s="11">
        <f>IF(ISERROR($M$37/$M$40),"",$M$37/$M$40)</f>
        <v>0.49581330732191381</v>
      </c>
    </row>
    <row r="38" spans="3:14" ht="30" customHeight="1" x14ac:dyDescent="0.35">
      <c r="L38" s="2" t="str">
        <f>IF(ISERROR('Passivo Corrente'!$D$4),"",'Passivo Corrente'!$D$4)</f>
        <v>Passivo Corrente</v>
      </c>
      <c r="M38" s="8">
        <f>IF(ISERROR('Passivo Corrente'!$E$4),"",'Passivo Corrente'!$E$4)</f>
        <v>1938036280.8599999</v>
      </c>
      <c r="N38" s="11">
        <f>IF(ISERROR($M$38/$M$40),"",$M$38/$M$40)</f>
        <v>0.27893120382693642</v>
      </c>
    </row>
    <row r="39" spans="3:14" ht="30" customHeight="1" x14ac:dyDescent="0.35">
      <c r="L39" s="2" t="str">
        <f>IF(ISERROR('Passivo Não Corrente'!$D$4),"",'Passivo Não Corrente'!$D$4)</f>
        <v>Passivo Não Corrente</v>
      </c>
      <c r="M39" s="8">
        <f>IF(ISERROR('Passivo Não Corrente'!$E$4),"",'Passivo Não Corrente'!$E$4)</f>
        <v>0</v>
      </c>
      <c r="N39" s="11">
        <f>IF(ISERROR($M$39/$M$40),"",$M$39/$M$40)</f>
        <v>0</v>
      </c>
    </row>
    <row r="40" spans="3:14" ht="30" customHeight="1" x14ac:dyDescent="0.35">
      <c r="L40" s="2"/>
      <c r="M40" s="8">
        <f>IF(ISERROR(SUM($M$36:$M$39)),"",SUM($M$36:$M$39))</f>
        <v>6948079864.3899994</v>
      </c>
      <c r="N40" s="2"/>
    </row>
    <row r="41" spans="3:14" ht="30" customHeight="1" x14ac:dyDescent="0.35"/>
    <row r="42" spans="3:14" ht="30" customHeight="1" x14ac:dyDescent="0.35"/>
    <row r="43" spans="3:14" ht="30" customHeight="1" x14ac:dyDescent="0.35"/>
    <row r="44" spans="3:14" ht="30" customHeight="1" x14ac:dyDescent="0.35">
      <c r="C44" s="9" t="s">
        <v>1525</v>
      </c>
      <c r="D44" s="9"/>
      <c r="E44" s="9"/>
      <c r="F44" s="9"/>
    </row>
    <row r="45" spans="3:14" ht="30" customHeight="1" x14ac:dyDescent="0.35"/>
    <row r="46" spans="3:14" ht="30" customHeight="1" x14ac:dyDescent="0.35"/>
    <row r="47" spans="3:14" ht="30" customHeight="1" x14ac:dyDescent="0.35"/>
    <row r="48" spans="3:14" ht="30" customHeight="1" x14ac:dyDescent="0.35"/>
    <row r="49" spans="3:7" ht="30" customHeight="1" x14ac:dyDescent="0.35"/>
    <row r="50" spans="3:7" ht="30" customHeight="1" x14ac:dyDescent="0.35"/>
    <row r="51" spans="3:7" ht="30" customHeight="1" x14ac:dyDescent="0.35"/>
    <row r="52" spans="3:7" ht="30" customHeight="1" x14ac:dyDescent="0.35"/>
    <row r="53" spans="3:7" ht="30" customHeight="1" x14ac:dyDescent="0.35"/>
    <row r="54" spans="3:7" ht="30" customHeight="1" x14ac:dyDescent="0.35">
      <c r="C54" s="9" t="s">
        <v>1526</v>
      </c>
      <c r="D54" s="9"/>
      <c r="E54" s="9"/>
      <c r="F54" s="9"/>
      <c r="G54" s="9"/>
    </row>
    <row r="55" spans="3:7" ht="30" customHeight="1" x14ac:dyDescent="0.35"/>
    <row r="56" spans="3:7" ht="30" customHeight="1" x14ac:dyDescent="0.35"/>
    <row r="57" spans="3:7" ht="30" customHeight="1" x14ac:dyDescent="0.35"/>
    <row r="58" spans="3:7" ht="30" customHeight="1" x14ac:dyDescent="0.35"/>
    <row r="59" spans="3:7" ht="30" customHeight="1" x14ac:dyDescent="0.35"/>
    <row r="60" spans="3:7" ht="30" customHeight="1" x14ac:dyDescent="0.35"/>
    <row r="61" spans="3:7" ht="30" customHeight="1" x14ac:dyDescent="0.35"/>
    <row r="62" spans="3:7" ht="30" customHeight="1" x14ac:dyDescent="0.35"/>
    <row r="63" spans="3:7" ht="30" customHeight="1" x14ac:dyDescent="0.35"/>
    <row r="64" spans="3:7" ht="30" customHeight="1" x14ac:dyDescent="0.35">
      <c r="C64" s="9" t="s">
        <v>1527</v>
      </c>
    </row>
    <row r="65" spans="3:3" ht="30" customHeight="1" x14ac:dyDescent="0.35"/>
    <row r="66" spans="3:3" ht="30" customHeight="1" x14ac:dyDescent="0.35"/>
    <row r="67" spans="3:3" ht="30" customHeight="1" x14ac:dyDescent="0.35"/>
    <row r="68" spans="3:3" ht="30" customHeight="1" x14ac:dyDescent="0.35"/>
    <row r="69" spans="3:3" ht="30" customHeight="1" x14ac:dyDescent="0.35"/>
    <row r="70" spans="3:3" ht="30" customHeight="1" x14ac:dyDescent="0.35"/>
    <row r="71" spans="3:3" ht="30" customHeight="1" x14ac:dyDescent="0.35"/>
    <row r="72" spans="3:3" ht="30" customHeight="1" x14ac:dyDescent="0.35"/>
    <row r="73" spans="3:3" ht="30" customHeight="1" x14ac:dyDescent="0.35"/>
    <row r="74" spans="3:3" ht="30" customHeight="1" x14ac:dyDescent="0.35">
      <c r="C74" s="9" t="s">
        <v>1528</v>
      </c>
    </row>
    <row r="75" spans="3:3" ht="30" customHeight="1" x14ac:dyDescent="0.35"/>
    <row r="76" spans="3:3" ht="30" customHeight="1" x14ac:dyDescent="0.35"/>
    <row r="77" spans="3:3" ht="30" customHeight="1" x14ac:dyDescent="0.35"/>
    <row r="78" spans="3:3" ht="30" customHeight="1" x14ac:dyDescent="0.35"/>
    <row r="79" spans="3:3" ht="30" customHeight="1" x14ac:dyDescent="0.35"/>
    <row r="80" spans="3:3" ht="30" customHeight="1" x14ac:dyDescent="0.35"/>
    <row r="81" ht="30" customHeight="1" x14ac:dyDescent="0.35"/>
    <row r="82" ht="30" customHeight="1" x14ac:dyDescent="0.35"/>
    <row r="83" ht="30" customHeight="1" x14ac:dyDescent="0.35"/>
    <row r="84" ht="30" customHeight="1" x14ac:dyDescent="0.35"/>
    <row r="85" ht="30" customHeight="1" x14ac:dyDescent="0.35"/>
    <row r="86" ht="30" customHeight="1" x14ac:dyDescent="0.35"/>
    <row r="87" ht="30" customHeight="1" x14ac:dyDescent="0.35"/>
    <row r="88" ht="30" customHeight="1" x14ac:dyDescent="0.35"/>
    <row r="89" ht="30" customHeight="1" x14ac:dyDescent="0.35"/>
    <row r="90" ht="30" customHeight="1" x14ac:dyDescent="0.35"/>
    <row r="91" ht="30" customHeight="1" x14ac:dyDescent="0.35"/>
    <row r="92" ht="30" customHeight="1" x14ac:dyDescent="0.35"/>
    <row r="93" ht="30" customHeight="1" x14ac:dyDescent="0.35"/>
    <row r="94" ht="30" customHeight="1" x14ac:dyDescent="0.35"/>
    <row r="95" ht="30" customHeight="1" x14ac:dyDescent="0.35"/>
    <row r="96" ht="30" customHeight="1" x14ac:dyDescent="0.35"/>
    <row r="97" ht="30" customHeight="1" x14ac:dyDescent="0.35"/>
    <row r="98" ht="30" customHeight="1" x14ac:dyDescent="0.35"/>
    <row r="99" ht="30" customHeight="1" x14ac:dyDescent="0.35"/>
    <row r="100" ht="34" customHeight="1" x14ac:dyDescent="0.35"/>
    <row r="101" ht="34" customHeight="1" x14ac:dyDescent="0.35"/>
    <row r="102" ht="34" customHeight="1" x14ac:dyDescent="0.35"/>
    <row r="103" ht="34" customHeight="1" x14ac:dyDescent="0.35"/>
    <row r="104" ht="34" customHeight="1" x14ac:dyDescent="0.35"/>
    <row r="105" ht="34" customHeight="1" x14ac:dyDescent="0.35"/>
    <row r="106" ht="34" customHeight="1" x14ac:dyDescent="0.35"/>
    <row r="107" ht="34" customHeight="1" x14ac:dyDescent="0.35"/>
    <row r="108" ht="34" customHeight="1" x14ac:dyDescent="0.35"/>
    <row r="109" ht="34" customHeight="1" x14ac:dyDescent="0.35"/>
    <row r="110" ht="34" customHeight="1" x14ac:dyDescent="0.35"/>
    <row r="111" ht="34" customHeight="1" x14ac:dyDescent="0.35"/>
    <row r="112" ht="34" customHeight="1" x14ac:dyDescent="0.35"/>
    <row r="113" ht="34" customHeight="1" x14ac:dyDescent="0.35"/>
    <row r="114" ht="34" customHeight="1" x14ac:dyDescent="0.35"/>
    <row r="115" ht="34" customHeight="1" x14ac:dyDescent="0.35"/>
    <row r="116" ht="34" customHeight="1" x14ac:dyDescent="0.35"/>
    <row r="117" ht="34" customHeight="1" x14ac:dyDescent="0.35"/>
    <row r="118" ht="34" customHeight="1" x14ac:dyDescent="0.35"/>
    <row r="119" ht="34" customHeight="1" x14ac:dyDescent="0.35"/>
    <row r="120" ht="34" customHeight="1" x14ac:dyDescent="0.35"/>
    <row r="121" ht="34" customHeight="1" x14ac:dyDescent="0.35"/>
    <row r="122" ht="34" customHeight="1" x14ac:dyDescent="0.35"/>
    <row r="123" ht="34" customHeight="1" x14ac:dyDescent="0.35"/>
    <row r="124" ht="34" customHeight="1" x14ac:dyDescent="0.35"/>
    <row r="125" ht="34" customHeight="1" x14ac:dyDescent="0.35"/>
    <row r="126" ht="34" customHeight="1" x14ac:dyDescent="0.35"/>
    <row r="127" ht="34" customHeight="1" x14ac:dyDescent="0.35"/>
    <row r="128" ht="34" customHeight="1" x14ac:dyDescent="0.35"/>
    <row r="129" ht="34" customHeight="1" x14ac:dyDescent="0.35"/>
    <row r="130" ht="34" customHeight="1" x14ac:dyDescent="0.35"/>
    <row r="131" ht="34" customHeight="1" x14ac:dyDescent="0.35"/>
    <row r="132" ht="34" customHeight="1" x14ac:dyDescent="0.35"/>
    <row r="133" ht="34" customHeight="1" x14ac:dyDescent="0.35"/>
    <row r="134" ht="34" customHeight="1" x14ac:dyDescent="0.35"/>
    <row r="135" ht="34" customHeight="1" x14ac:dyDescent="0.35"/>
    <row r="136" ht="34" customHeight="1" x14ac:dyDescent="0.35"/>
    <row r="137" ht="34" customHeight="1" x14ac:dyDescent="0.35"/>
    <row r="138" ht="34" customHeight="1" x14ac:dyDescent="0.35"/>
    <row r="139" ht="34" customHeight="1" x14ac:dyDescent="0.35"/>
    <row r="140" ht="34" customHeight="1" x14ac:dyDescent="0.35"/>
    <row r="141" ht="34" customHeight="1" x14ac:dyDescent="0.35"/>
    <row r="142" ht="34" customHeight="1" x14ac:dyDescent="0.35"/>
    <row r="143" ht="34" customHeight="1" x14ac:dyDescent="0.35"/>
    <row r="144" ht="34" customHeight="1" x14ac:dyDescent="0.35"/>
    <row r="145" ht="34" customHeight="1" x14ac:dyDescent="0.35"/>
    <row r="146" ht="34" customHeight="1" x14ac:dyDescent="0.35"/>
    <row r="147" ht="34" customHeight="1" x14ac:dyDescent="0.35"/>
    <row r="148" ht="34" customHeight="1" x14ac:dyDescent="0.35"/>
    <row r="149" ht="34" customHeight="1" x14ac:dyDescent="0.35"/>
    <row r="150" ht="34" customHeight="1" x14ac:dyDescent="0.35"/>
    <row r="151" ht="34" customHeight="1" x14ac:dyDescent="0.35"/>
    <row r="152" ht="34" customHeight="1" x14ac:dyDescent="0.35"/>
    <row r="153" ht="34" customHeight="1" x14ac:dyDescent="0.35"/>
    <row r="154" ht="34" customHeight="1" x14ac:dyDescent="0.35"/>
    <row r="155" ht="34" customHeight="1" x14ac:dyDescent="0.35"/>
    <row r="156" ht="34" customHeight="1" x14ac:dyDescent="0.35"/>
    <row r="157" ht="34" customHeight="1" x14ac:dyDescent="0.35"/>
    <row r="158" ht="34" customHeight="1" x14ac:dyDescent="0.35"/>
    <row r="159" ht="34" customHeight="1" x14ac:dyDescent="0.35"/>
    <row r="160" ht="34" customHeight="1" x14ac:dyDescent="0.35"/>
    <row r="161" ht="34" customHeight="1" x14ac:dyDescent="0.35"/>
    <row r="162" ht="34" customHeight="1" x14ac:dyDescent="0.35"/>
    <row r="163" ht="34" customHeight="1" x14ac:dyDescent="0.35"/>
    <row r="164" ht="34" customHeight="1" x14ac:dyDescent="0.35"/>
    <row r="165" ht="34" customHeight="1" x14ac:dyDescent="0.35"/>
    <row r="166" ht="34" customHeight="1" x14ac:dyDescent="0.35"/>
    <row r="167" ht="34" customHeight="1" x14ac:dyDescent="0.35"/>
    <row r="168" ht="34" customHeight="1" x14ac:dyDescent="0.35"/>
    <row r="169" ht="34" customHeight="1" x14ac:dyDescent="0.35"/>
    <row r="170" ht="34" customHeight="1" x14ac:dyDescent="0.35"/>
    <row r="171" ht="34" customHeight="1" x14ac:dyDescent="0.35"/>
    <row r="172" ht="34" customHeight="1" x14ac:dyDescent="0.35"/>
    <row r="173" ht="34" customHeight="1" x14ac:dyDescent="0.35"/>
    <row r="174" ht="34" customHeight="1" x14ac:dyDescent="0.35"/>
    <row r="175" ht="34" customHeight="1" x14ac:dyDescent="0.35"/>
    <row r="176" ht="34" customHeight="1" x14ac:dyDescent="0.35"/>
    <row r="177" ht="34" customHeight="1" x14ac:dyDescent="0.35"/>
    <row r="178" ht="34" customHeight="1" x14ac:dyDescent="0.35"/>
    <row r="179" ht="34" customHeight="1" x14ac:dyDescent="0.35"/>
    <row r="180" ht="34" customHeight="1" x14ac:dyDescent="0.35"/>
    <row r="181" ht="34" customHeight="1" x14ac:dyDescent="0.35"/>
    <row r="182" ht="34" customHeight="1" x14ac:dyDescent="0.35"/>
    <row r="183" ht="34" customHeight="1" x14ac:dyDescent="0.35"/>
    <row r="184" ht="34" customHeight="1" x14ac:dyDescent="0.35"/>
    <row r="185" ht="34" customHeight="1" x14ac:dyDescent="0.35"/>
    <row r="186" ht="34" customHeight="1" x14ac:dyDescent="0.35"/>
    <row r="187" ht="34" customHeight="1" x14ac:dyDescent="0.35"/>
    <row r="188" ht="34" customHeight="1" x14ac:dyDescent="0.35"/>
    <row r="189" ht="34" customHeight="1" x14ac:dyDescent="0.35"/>
    <row r="190" ht="34" customHeight="1" x14ac:dyDescent="0.35"/>
    <row r="191" ht="34" customHeight="1" x14ac:dyDescent="0.35"/>
    <row r="192" ht="34" customHeight="1" x14ac:dyDescent="0.35"/>
    <row r="193" ht="34" customHeight="1" x14ac:dyDescent="0.35"/>
    <row r="194" ht="34" customHeight="1" x14ac:dyDescent="0.35"/>
    <row r="195" ht="34" customHeight="1" x14ac:dyDescent="0.35"/>
    <row r="196" ht="34" customHeight="1" x14ac:dyDescent="0.35"/>
    <row r="197" ht="34" customHeight="1" x14ac:dyDescent="0.35"/>
    <row r="198" ht="34" customHeight="1" x14ac:dyDescent="0.35"/>
    <row r="199" ht="34" customHeight="1" x14ac:dyDescent="0.35"/>
    <row r="200" ht="34" customHeight="1" x14ac:dyDescent="0.35"/>
    <row r="201" ht="34" customHeight="1" x14ac:dyDescent="0.35"/>
    <row r="202" ht="34" customHeight="1" x14ac:dyDescent="0.35"/>
    <row r="203" ht="34" customHeight="1" x14ac:dyDescent="0.35"/>
    <row r="204" ht="34" customHeight="1" x14ac:dyDescent="0.35"/>
    <row r="205" ht="34" customHeight="1" x14ac:dyDescent="0.35"/>
    <row r="206" ht="34" customHeight="1" x14ac:dyDescent="0.35"/>
    <row r="207" ht="34" customHeight="1" x14ac:dyDescent="0.35"/>
    <row r="208" ht="34" customHeight="1" x14ac:dyDescent="0.35"/>
    <row r="209" ht="34" customHeight="1" x14ac:dyDescent="0.35"/>
    <row r="210" ht="34" customHeight="1" x14ac:dyDescent="0.35"/>
    <row r="211" ht="34" customHeight="1" x14ac:dyDescent="0.35"/>
    <row r="212" ht="34" customHeight="1" x14ac:dyDescent="0.35"/>
    <row r="213" ht="34" customHeight="1" x14ac:dyDescent="0.35"/>
    <row r="214" ht="34" customHeight="1" x14ac:dyDescent="0.35"/>
    <row r="215" ht="34" customHeight="1" x14ac:dyDescent="0.35"/>
    <row r="216" ht="34" customHeight="1" x14ac:dyDescent="0.35"/>
    <row r="217" ht="34" customHeight="1" x14ac:dyDescent="0.35"/>
    <row r="218" ht="34" customHeight="1" x14ac:dyDescent="0.35"/>
    <row r="219" ht="34" customHeight="1" x14ac:dyDescent="0.35"/>
    <row r="220" ht="34" customHeight="1" x14ac:dyDescent="0.35"/>
    <row r="221" ht="34" customHeight="1" x14ac:dyDescent="0.35"/>
    <row r="222" ht="34" customHeight="1" x14ac:dyDescent="0.35"/>
    <row r="223" ht="34" customHeight="1" x14ac:dyDescent="0.35"/>
    <row r="224" ht="34" customHeight="1" x14ac:dyDescent="0.35"/>
    <row r="225" ht="34" customHeight="1" x14ac:dyDescent="0.35"/>
    <row r="226" ht="34" customHeight="1" x14ac:dyDescent="0.35"/>
    <row r="227" ht="34" customHeight="1" x14ac:dyDescent="0.35"/>
    <row r="228" ht="34" customHeight="1" x14ac:dyDescent="0.35"/>
    <row r="229" ht="34" customHeight="1" x14ac:dyDescent="0.35"/>
    <row r="230" ht="34" customHeight="1" x14ac:dyDescent="0.35"/>
    <row r="231" ht="34" customHeight="1" x14ac:dyDescent="0.35"/>
    <row r="232" ht="34" customHeight="1" x14ac:dyDescent="0.35"/>
    <row r="233" ht="34" customHeight="1" x14ac:dyDescent="0.35"/>
    <row r="234" ht="34" customHeight="1" x14ac:dyDescent="0.35"/>
    <row r="235" ht="34" customHeight="1" x14ac:dyDescent="0.35"/>
    <row r="236" ht="34" customHeight="1" x14ac:dyDescent="0.35"/>
    <row r="237" ht="34" customHeight="1" x14ac:dyDescent="0.35"/>
    <row r="238" ht="34" customHeight="1" x14ac:dyDescent="0.35"/>
    <row r="239" ht="34" customHeight="1" x14ac:dyDescent="0.35"/>
    <row r="240" ht="34" customHeight="1" x14ac:dyDescent="0.35"/>
    <row r="241" ht="34" customHeight="1" x14ac:dyDescent="0.35"/>
    <row r="242" ht="34" customHeight="1" x14ac:dyDescent="0.35"/>
    <row r="243" ht="34" customHeight="1" x14ac:dyDescent="0.35"/>
    <row r="244" ht="34" customHeight="1" x14ac:dyDescent="0.35"/>
    <row r="245" ht="34" customHeight="1" x14ac:dyDescent="0.35"/>
    <row r="246" ht="34" customHeight="1" x14ac:dyDescent="0.35"/>
    <row r="247" ht="34" customHeight="1" x14ac:dyDescent="0.35"/>
    <row r="248" ht="34" customHeight="1" x14ac:dyDescent="0.35"/>
    <row r="249" ht="34" customHeight="1" x14ac:dyDescent="0.35"/>
    <row r="250" ht="34" customHeight="1" x14ac:dyDescent="0.35"/>
    <row r="251" ht="34" customHeight="1" x14ac:dyDescent="0.35"/>
    <row r="252" ht="34" customHeight="1" x14ac:dyDescent="0.35"/>
    <row r="253" ht="34" customHeight="1" x14ac:dyDescent="0.35"/>
    <row r="254" ht="34" customHeight="1" x14ac:dyDescent="0.35"/>
    <row r="255" ht="34" customHeight="1" x14ac:dyDescent="0.35"/>
    <row r="256" ht="34" customHeight="1" x14ac:dyDescent="0.35"/>
    <row r="257" ht="34" customHeight="1" x14ac:dyDescent="0.35"/>
    <row r="258" ht="34" customHeight="1" x14ac:dyDescent="0.35"/>
    <row r="259" ht="34" customHeight="1" x14ac:dyDescent="0.35"/>
    <row r="260" ht="34" customHeight="1" x14ac:dyDescent="0.35"/>
    <row r="261" ht="34" customHeight="1" x14ac:dyDescent="0.35"/>
    <row r="262" ht="34" customHeight="1" x14ac:dyDescent="0.35"/>
    <row r="263" ht="34" customHeight="1" x14ac:dyDescent="0.35"/>
    <row r="264" ht="34" customHeight="1" x14ac:dyDescent="0.35"/>
    <row r="265" ht="34" customHeight="1" x14ac:dyDescent="0.35"/>
    <row r="266" ht="34" customHeight="1" x14ac:dyDescent="0.35"/>
    <row r="267" ht="34" customHeight="1" x14ac:dyDescent="0.35"/>
    <row r="268" ht="34" customHeight="1" x14ac:dyDescent="0.35"/>
    <row r="269" ht="34" customHeight="1" x14ac:dyDescent="0.35"/>
    <row r="270" ht="34" customHeight="1" x14ac:dyDescent="0.35"/>
    <row r="271" ht="34" customHeight="1" x14ac:dyDescent="0.35"/>
    <row r="272" ht="34" customHeight="1" x14ac:dyDescent="0.35"/>
    <row r="273" ht="34" customHeight="1" x14ac:dyDescent="0.35"/>
    <row r="274" ht="34" customHeight="1" x14ac:dyDescent="0.35"/>
    <row r="275" ht="34" customHeight="1" x14ac:dyDescent="0.35"/>
    <row r="276" ht="34" customHeight="1" x14ac:dyDescent="0.35"/>
    <row r="277" ht="34" customHeight="1" x14ac:dyDescent="0.35"/>
    <row r="278" ht="34" customHeight="1" x14ac:dyDescent="0.35"/>
    <row r="279" ht="34" customHeight="1" x14ac:dyDescent="0.35"/>
    <row r="280" ht="34" customHeight="1" x14ac:dyDescent="0.35"/>
    <row r="281" ht="34" customHeight="1" x14ac:dyDescent="0.35"/>
    <row r="282" ht="34" customHeight="1" x14ac:dyDescent="0.35"/>
    <row r="283" ht="34" customHeight="1" x14ac:dyDescent="0.35"/>
    <row r="284" ht="34" customHeight="1" x14ac:dyDescent="0.35"/>
    <row r="285" ht="34" customHeight="1" x14ac:dyDescent="0.35"/>
    <row r="286" ht="34" customHeight="1" x14ac:dyDescent="0.35"/>
    <row r="287" ht="34" customHeight="1" x14ac:dyDescent="0.35"/>
    <row r="288" ht="34" customHeight="1" x14ac:dyDescent="0.35"/>
    <row r="289" ht="34" customHeight="1" x14ac:dyDescent="0.35"/>
    <row r="290" ht="34" customHeight="1" x14ac:dyDescent="0.35"/>
    <row r="291" ht="34" customHeight="1" x14ac:dyDescent="0.35"/>
    <row r="292" ht="34" customHeight="1" x14ac:dyDescent="0.35"/>
    <row r="293" ht="34" customHeight="1" x14ac:dyDescent="0.35"/>
    <row r="294" ht="34" customHeight="1" x14ac:dyDescent="0.35"/>
    <row r="295" ht="34" customHeight="1" x14ac:dyDescent="0.35"/>
    <row r="296" ht="34" customHeight="1" x14ac:dyDescent="0.35"/>
    <row r="297" ht="34" customHeight="1" x14ac:dyDescent="0.35"/>
    <row r="298" ht="34" customHeight="1" x14ac:dyDescent="0.35"/>
    <row r="299" ht="34" customHeight="1" x14ac:dyDescent="0.35"/>
    <row r="300" ht="34" customHeight="1" x14ac:dyDescent="0.35"/>
    <row r="301" ht="34" customHeight="1" x14ac:dyDescent="0.35"/>
    <row r="302" ht="34" customHeight="1" x14ac:dyDescent="0.35"/>
    <row r="303" ht="34" customHeight="1" x14ac:dyDescent="0.35"/>
    <row r="304" ht="34" customHeight="1" x14ac:dyDescent="0.35"/>
    <row r="305" ht="34" customHeight="1" x14ac:dyDescent="0.35"/>
    <row r="306" ht="34" customHeight="1" x14ac:dyDescent="0.35"/>
    <row r="307" ht="34" customHeight="1" x14ac:dyDescent="0.35"/>
    <row r="308" ht="34" customHeight="1" x14ac:dyDescent="0.35"/>
    <row r="309" ht="34" customHeight="1" x14ac:dyDescent="0.35"/>
    <row r="310" ht="34" customHeight="1" x14ac:dyDescent="0.35"/>
    <row r="311" ht="34" customHeight="1" x14ac:dyDescent="0.35"/>
    <row r="312" ht="34" customHeight="1" x14ac:dyDescent="0.35"/>
    <row r="313" ht="34" customHeight="1" x14ac:dyDescent="0.35"/>
    <row r="314" ht="34" customHeight="1" x14ac:dyDescent="0.35"/>
    <row r="315" ht="34" customHeight="1" x14ac:dyDescent="0.35"/>
    <row r="316" ht="34" customHeight="1" x14ac:dyDescent="0.35"/>
    <row r="317" ht="34" customHeight="1" x14ac:dyDescent="0.35"/>
    <row r="318" ht="34" customHeight="1" x14ac:dyDescent="0.35"/>
    <row r="319" ht="34" customHeight="1" x14ac:dyDescent="0.35"/>
    <row r="320" ht="34" customHeight="1" x14ac:dyDescent="0.35"/>
    <row r="321" ht="34" customHeight="1" x14ac:dyDescent="0.35"/>
    <row r="322" ht="34" customHeight="1" x14ac:dyDescent="0.35"/>
    <row r="323" ht="34" customHeight="1" x14ac:dyDescent="0.35"/>
    <row r="324" ht="34" customHeight="1" x14ac:dyDescent="0.35"/>
    <row r="325" ht="34" customHeight="1" x14ac:dyDescent="0.35"/>
    <row r="326" ht="34" customHeight="1" x14ac:dyDescent="0.35"/>
    <row r="327" ht="34" customHeight="1" x14ac:dyDescent="0.35"/>
    <row r="328" ht="34" customHeight="1" x14ac:dyDescent="0.35"/>
    <row r="329" ht="34" customHeight="1" x14ac:dyDescent="0.35"/>
    <row r="330" ht="34" customHeight="1" x14ac:dyDescent="0.35"/>
    <row r="331" ht="34" customHeight="1" x14ac:dyDescent="0.35"/>
    <row r="332" ht="34" customHeight="1" x14ac:dyDescent="0.35"/>
    <row r="333" ht="34" customHeight="1" x14ac:dyDescent="0.35"/>
    <row r="334" ht="34" customHeight="1" x14ac:dyDescent="0.35"/>
    <row r="335" ht="34" customHeight="1" x14ac:dyDescent="0.35"/>
    <row r="336" ht="34" customHeight="1" x14ac:dyDescent="0.35"/>
    <row r="337" ht="34" customHeight="1" x14ac:dyDescent="0.35"/>
    <row r="338" ht="34" customHeight="1" x14ac:dyDescent="0.35"/>
    <row r="339" ht="34" customHeight="1" x14ac:dyDescent="0.35"/>
    <row r="340" ht="34" customHeight="1" x14ac:dyDescent="0.35"/>
    <row r="341" ht="34" customHeight="1" x14ac:dyDescent="0.35"/>
    <row r="342" ht="34" customHeight="1" x14ac:dyDescent="0.35"/>
    <row r="343" ht="34" customHeight="1" x14ac:dyDescent="0.35"/>
    <row r="344" ht="34" customHeight="1" x14ac:dyDescent="0.35"/>
    <row r="345" ht="34" customHeight="1" x14ac:dyDescent="0.35"/>
    <row r="346" ht="34" customHeight="1" x14ac:dyDescent="0.35"/>
    <row r="347" ht="34" customHeight="1" x14ac:dyDescent="0.35"/>
    <row r="348" ht="34" customHeight="1" x14ac:dyDescent="0.35"/>
    <row r="349" ht="34" customHeight="1" x14ac:dyDescent="0.35"/>
    <row r="350" ht="34" customHeight="1" x14ac:dyDescent="0.35"/>
    <row r="351" ht="34" customHeight="1" x14ac:dyDescent="0.35"/>
    <row r="352" ht="34" customHeight="1" x14ac:dyDescent="0.35"/>
    <row r="353" ht="34" customHeight="1" x14ac:dyDescent="0.35"/>
    <row r="354" ht="34" customHeight="1" x14ac:dyDescent="0.35"/>
    <row r="355" ht="34" customHeight="1" x14ac:dyDescent="0.35"/>
    <row r="356" ht="34" customHeight="1" x14ac:dyDescent="0.35"/>
    <row r="357" ht="34" customHeight="1" x14ac:dyDescent="0.35"/>
    <row r="358" ht="34" customHeight="1" x14ac:dyDescent="0.35"/>
    <row r="359" ht="34" customHeight="1" x14ac:dyDescent="0.35"/>
    <row r="360" ht="34" customHeight="1" x14ac:dyDescent="0.35"/>
    <row r="361" ht="34" customHeight="1" x14ac:dyDescent="0.35"/>
    <row r="362" ht="34" customHeight="1" x14ac:dyDescent="0.35"/>
    <row r="363" ht="34" customHeight="1" x14ac:dyDescent="0.35"/>
    <row r="364" ht="34" customHeight="1" x14ac:dyDescent="0.35"/>
    <row r="365" ht="34" customHeight="1" x14ac:dyDescent="0.35"/>
    <row r="366" ht="34" customHeight="1" x14ac:dyDescent="0.35"/>
    <row r="367" ht="34" customHeight="1" x14ac:dyDescent="0.35"/>
    <row r="368" ht="34" customHeight="1" x14ac:dyDescent="0.35"/>
    <row r="369" ht="34" customHeight="1" x14ac:dyDescent="0.35"/>
    <row r="370" ht="34" customHeight="1" x14ac:dyDescent="0.35"/>
    <row r="371" ht="34" customHeight="1" x14ac:dyDescent="0.35"/>
    <row r="372" ht="34" customHeight="1" x14ac:dyDescent="0.35"/>
    <row r="373" ht="34" customHeight="1" x14ac:dyDescent="0.35"/>
    <row r="374" ht="34" customHeight="1" x14ac:dyDescent="0.35"/>
    <row r="375" ht="34" customHeight="1" x14ac:dyDescent="0.35"/>
    <row r="376" ht="34" customHeight="1" x14ac:dyDescent="0.35"/>
    <row r="377" ht="34" customHeight="1" x14ac:dyDescent="0.35"/>
    <row r="378" ht="34" customHeight="1" x14ac:dyDescent="0.35"/>
    <row r="379" ht="34" customHeight="1" x14ac:dyDescent="0.35"/>
    <row r="380" ht="34" customHeight="1" x14ac:dyDescent="0.35"/>
    <row r="381" ht="34" customHeight="1" x14ac:dyDescent="0.35"/>
    <row r="382" ht="34" customHeight="1" x14ac:dyDescent="0.35"/>
    <row r="383" ht="34" customHeight="1" x14ac:dyDescent="0.35"/>
    <row r="384" ht="34" customHeight="1" x14ac:dyDescent="0.35"/>
    <row r="385" ht="34" customHeight="1" x14ac:dyDescent="0.35"/>
    <row r="386" ht="34" customHeight="1" x14ac:dyDescent="0.35"/>
    <row r="387" ht="34" customHeight="1" x14ac:dyDescent="0.35"/>
    <row r="388" ht="34" customHeight="1" x14ac:dyDescent="0.35"/>
    <row r="389" ht="34" customHeight="1" x14ac:dyDescent="0.35"/>
    <row r="390" ht="34" customHeight="1" x14ac:dyDescent="0.35"/>
    <row r="391" ht="34" customHeight="1" x14ac:dyDescent="0.35"/>
    <row r="392" ht="34" customHeight="1" x14ac:dyDescent="0.35"/>
    <row r="393" ht="34" customHeight="1" x14ac:dyDescent="0.35"/>
    <row r="394" ht="34" customHeight="1" x14ac:dyDescent="0.35"/>
    <row r="395" ht="34" customHeight="1" x14ac:dyDescent="0.35"/>
    <row r="396" ht="34" customHeight="1" x14ac:dyDescent="0.35"/>
    <row r="397" ht="34" customHeight="1" x14ac:dyDescent="0.35"/>
    <row r="398" ht="34" customHeight="1" x14ac:dyDescent="0.35"/>
    <row r="399" ht="34" customHeight="1" x14ac:dyDescent="0.35"/>
    <row r="400" ht="34" customHeight="1" x14ac:dyDescent="0.35"/>
    <row r="401" ht="34" customHeight="1" x14ac:dyDescent="0.35"/>
    <row r="402" ht="34" customHeight="1" x14ac:dyDescent="0.35"/>
    <row r="403" ht="34" customHeight="1" x14ac:dyDescent="0.35"/>
    <row r="404" ht="34" customHeight="1" x14ac:dyDescent="0.35"/>
    <row r="405" ht="34" customHeight="1" x14ac:dyDescent="0.35"/>
    <row r="406" ht="34" customHeight="1" x14ac:dyDescent="0.35"/>
    <row r="407" ht="34" customHeight="1" x14ac:dyDescent="0.35"/>
    <row r="408" ht="34" customHeight="1" x14ac:dyDescent="0.35"/>
    <row r="409" ht="34" customHeight="1" x14ac:dyDescent="0.35"/>
    <row r="410" ht="34" customHeight="1" x14ac:dyDescent="0.35"/>
    <row r="411" ht="34" customHeight="1" x14ac:dyDescent="0.35"/>
    <row r="412" ht="34" customHeight="1" x14ac:dyDescent="0.35"/>
    <row r="413" ht="34" customHeight="1" x14ac:dyDescent="0.35"/>
    <row r="414" ht="34" customHeight="1" x14ac:dyDescent="0.35"/>
    <row r="415" ht="34" customHeight="1" x14ac:dyDescent="0.35"/>
    <row r="416" ht="34" customHeight="1" x14ac:dyDescent="0.35"/>
    <row r="417" ht="34" customHeight="1" x14ac:dyDescent="0.35"/>
    <row r="418" ht="34" customHeight="1" x14ac:dyDescent="0.35"/>
    <row r="419" ht="34" customHeight="1" x14ac:dyDescent="0.35"/>
    <row r="420" ht="34" customHeight="1" x14ac:dyDescent="0.35"/>
    <row r="421" ht="34" customHeight="1" x14ac:dyDescent="0.35"/>
    <row r="422" ht="34" customHeight="1" x14ac:dyDescent="0.35"/>
    <row r="423" ht="34" customHeight="1" x14ac:dyDescent="0.35"/>
    <row r="424" ht="34" customHeight="1" x14ac:dyDescent="0.35"/>
    <row r="425" ht="34" customHeight="1" x14ac:dyDescent="0.35"/>
    <row r="426" ht="34" customHeight="1" x14ac:dyDescent="0.35"/>
    <row r="427" ht="34" customHeight="1" x14ac:dyDescent="0.35"/>
    <row r="428" ht="34" customHeight="1" x14ac:dyDescent="0.35"/>
    <row r="429" ht="34" customHeight="1" x14ac:dyDescent="0.35"/>
    <row r="430" ht="34" customHeight="1" x14ac:dyDescent="0.35"/>
    <row r="431" ht="34" customHeight="1" x14ac:dyDescent="0.35"/>
    <row r="432" ht="34" customHeight="1" x14ac:dyDescent="0.35"/>
    <row r="433" ht="34" customHeight="1" x14ac:dyDescent="0.35"/>
    <row r="434" ht="34" customHeight="1" x14ac:dyDescent="0.35"/>
    <row r="435" ht="34" customHeight="1" x14ac:dyDescent="0.35"/>
    <row r="436" ht="34" customHeight="1" x14ac:dyDescent="0.35"/>
    <row r="437" ht="34" customHeight="1" x14ac:dyDescent="0.35"/>
    <row r="438" ht="34" customHeight="1" x14ac:dyDescent="0.35"/>
    <row r="439" ht="34" customHeight="1" x14ac:dyDescent="0.35"/>
    <row r="440" ht="34" customHeight="1" x14ac:dyDescent="0.35"/>
    <row r="441" ht="34" customHeight="1" x14ac:dyDescent="0.35"/>
    <row r="442" ht="34" customHeight="1" x14ac:dyDescent="0.35"/>
    <row r="443" ht="34" customHeight="1" x14ac:dyDescent="0.35"/>
    <row r="444" ht="34" customHeight="1" x14ac:dyDescent="0.35"/>
    <row r="445" ht="34" customHeight="1" x14ac:dyDescent="0.35"/>
    <row r="446" ht="34" customHeight="1" x14ac:dyDescent="0.35"/>
    <row r="447" ht="34" customHeight="1" x14ac:dyDescent="0.35"/>
    <row r="448" ht="34" customHeight="1" x14ac:dyDescent="0.35"/>
    <row r="449" ht="34" customHeight="1" x14ac:dyDescent="0.35"/>
    <row r="450" ht="34" customHeight="1" x14ac:dyDescent="0.35"/>
    <row r="451" ht="34" customHeight="1" x14ac:dyDescent="0.35"/>
    <row r="452" ht="34" customHeight="1" x14ac:dyDescent="0.35"/>
    <row r="453" ht="34" customHeight="1" x14ac:dyDescent="0.35"/>
    <row r="454" ht="34" customHeight="1" x14ac:dyDescent="0.35"/>
    <row r="455" ht="34" customHeight="1" x14ac:dyDescent="0.35"/>
    <row r="456" ht="34" customHeight="1" x14ac:dyDescent="0.35"/>
    <row r="457" ht="34" customHeight="1" x14ac:dyDescent="0.35"/>
    <row r="458" ht="34" customHeight="1" x14ac:dyDescent="0.35"/>
    <row r="459" ht="34" customHeight="1" x14ac:dyDescent="0.35"/>
    <row r="460" ht="34" customHeight="1" x14ac:dyDescent="0.35"/>
    <row r="461" ht="34" customHeight="1" x14ac:dyDescent="0.35"/>
    <row r="462" ht="34" customHeight="1" x14ac:dyDescent="0.35"/>
    <row r="463" ht="34" customHeight="1" x14ac:dyDescent="0.35"/>
    <row r="464" ht="34" customHeight="1" x14ac:dyDescent="0.35"/>
    <row r="465" ht="34" customHeight="1" x14ac:dyDescent="0.35"/>
    <row r="466" ht="34" customHeight="1" x14ac:dyDescent="0.35"/>
    <row r="467" ht="34" customHeight="1" x14ac:dyDescent="0.35"/>
    <row r="468" ht="34" customHeight="1" x14ac:dyDescent="0.35"/>
    <row r="469" ht="34" customHeight="1" x14ac:dyDescent="0.35"/>
    <row r="470" ht="34" customHeight="1" x14ac:dyDescent="0.35"/>
    <row r="471" ht="34" customHeight="1" x14ac:dyDescent="0.35"/>
    <row r="472" ht="34" customHeight="1" x14ac:dyDescent="0.35"/>
    <row r="473" ht="34" customHeight="1" x14ac:dyDescent="0.35"/>
    <row r="474" ht="34" customHeight="1" x14ac:dyDescent="0.35"/>
    <row r="475" ht="34" customHeight="1" x14ac:dyDescent="0.35"/>
    <row r="476" ht="34" customHeight="1" x14ac:dyDescent="0.35"/>
    <row r="477" ht="34" customHeight="1" x14ac:dyDescent="0.35"/>
    <row r="478" ht="34" customHeight="1" x14ac:dyDescent="0.35"/>
    <row r="479" ht="34" customHeight="1" x14ac:dyDescent="0.35"/>
    <row r="480" ht="34" customHeight="1" x14ac:dyDescent="0.35"/>
    <row r="481" ht="34" customHeight="1" x14ac:dyDescent="0.35"/>
    <row r="482" ht="34" customHeight="1" x14ac:dyDescent="0.35"/>
    <row r="483" ht="34" customHeight="1" x14ac:dyDescent="0.35"/>
    <row r="484" ht="34" customHeight="1" x14ac:dyDescent="0.35"/>
    <row r="485" ht="34" customHeight="1" x14ac:dyDescent="0.35"/>
    <row r="486" ht="34" customHeight="1" x14ac:dyDescent="0.35"/>
    <row r="487" ht="34" customHeight="1" x14ac:dyDescent="0.35"/>
    <row r="488" ht="34" customHeight="1" x14ac:dyDescent="0.35"/>
    <row r="489" ht="34" customHeight="1" x14ac:dyDescent="0.35"/>
    <row r="490" ht="34" customHeight="1" x14ac:dyDescent="0.35"/>
    <row r="491" ht="34" customHeight="1" x14ac:dyDescent="0.35"/>
    <row r="492" ht="34" customHeight="1" x14ac:dyDescent="0.35"/>
    <row r="493" ht="34" customHeight="1" x14ac:dyDescent="0.35"/>
    <row r="494" ht="34" customHeight="1" x14ac:dyDescent="0.35"/>
    <row r="495" ht="34" customHeight="1" x14ac:dyDescent="0.35"/>
    <row r="496" ht="34" customHeight="1" x14ac:dyDescent="0.35"/>
    <row r="497" ht="34" customHeight="1" x14ac:dyDescent="0.35"/>
    <row r="498" ht="34" customHeight="1" x14ac:dyDescent="0.35"/>
    <row r="499" ht="34" customHeight="1" x14ac:dyDescent="0.35"/>
    <row r="500" ht="34" customHeight="1" x14ac:dyDescent="0.35"/>
    <row r="501" ht="34" customHeight="1" x14ac:dyDescent="0.35"/>
    <row r="502" ht="34" customHeight="1" x14ac:dyDescent="0.35"/>
    <row r="503" ht="34" customHeight="1" x14ac:dyDescent="0.35"/>
    <row r="504" ht="34" customHeight="1" x14ac:dyDescent="0.35"/>
    <row r="505" ht="34" customHeight="1" x14ac:dyDescent="0.35"/>
    <row r="506" ht="34" customHeight="1" x14ac:dyDescent="0.35"/>
    <row r="507" ht="34" customHeight="1" x14ac:dyDescent="0.35"/>
    <row r="508" ht="34" customHeight="1" x14ac:dyDescent="0.35"/>
    <row r="509" ht="34" customHeight="1" x14ac:dyDescent="0.35"/>
    <row r="510" ht="34" customHeight="1" x14ac:dyDescent="0.35"/>
    <row r="511" ht="34" customHeight="1" x14ac:dyDescent="0.35"/>
    <row r="512" ht="34" customHeight="1" x14ac:dyDescent="0.35"/>
    <row r="513" ht="34" customHeight="1" x14ac:dyDescent="0.35"/>
    <row r="514" ht="34" customHeight="1" x14ac:dyDescent="0.35"/>
    <row r="515" ht="34" customHeight="1" x14ac:dyDescent="0.35"/>
    <row r="516" ht="34" customHeight="1" x14ac:dyDescent="0.35"/>
    <row r="517" ht="34" customHeight="1" x14ac:dyDescent="0.35"/>
    <row r="518" ht="34" customHeight="1" x14ac:dyDescent="0.35"/>
    <row r="519" ht="34" customHeight="1" x14ac:dyDescent="0.35"/>
    <row r="520" ht="34" customHeight="1" x14ac:dyDescent="0.35"/>
    <row r="521" ht="34" customHeight="1" x14ac:dyDescent="0.35"/>
    <row r="522" ht="34" customHeight="1" x14ac:dyDescent="0.35"/>
    <row r="523" ht="34" customHeight="1" x14ac:dyDescent="0.35"/>
    <row r="524" ht="34" customHeight="1" x14ac:dyDescent="0.35"/>
    <row r="525" ht="34" customHeight="1" x14ac:dyDescent="0.35"/>
    <row r="526" ht="34" customHeight="1" x14ac:dyDescent="0.35"/>
    <row r="527" ht="34" customHeight="1" x14ac:dyDescent="0.35"/>
    <row r="528" ht="34" customHeight="1" x14ac:dyDescent="0.35"/>
    <row r="529" ht="34" hidden="1" customHeight="1" x14ac:dyDescent="0.35"/>
    <row r="530" x14ac:dyDescent="0.35"/>
    <row r="531" x14ac:dyDescent="0.35"/>
  </sheetData>
  <pageMargins left="0.511811024" right="0.511811024" top="0.78740157499999996" bottom="0.78740157499999996" header="0.31496062000000002" footer="0.31496062000000002"/>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Planilha11"/>
  <dimension ref="B1:U103"/>
  <sheetViews>
    <sheetView showGridLines="0" zoomScaleNormal="100" workbookViewId="0">
      <pane ySplit="3" topLeftCell="A4" activePane="bottomLeft" state="frozen"/>
      <selection pane="bottomLeft"/>
    </sheetView>
  </sheetViews>
  <sheetFormatPr defaultColWidth="8.90625" defaultRowHeight="0" customHeight="1" zeroHeight="1" x14ac:dyDescent="0.35"/>
  <cols>
    <col min="1" max="1" width="5.54296875" customWidth="1"/>
    <col min="2" max="2" width="2.7265625" customWidth="1"/>
    <col min="3" max="3" width="40.6328125" customWidth="1"/>
    <col min="4" max="4" width="23.54296875" bestFit="1" customWidth="1"/>
    <col min="5" max="5" width="0.81640625" style="2" customWidth="1"/>
    <col min="6" max="6" width="40.6328125" customWidth="1"/>
    <col min="7" max="8" width="15.6328125" customWidth="1"/>
    <col min="9" max="9" width="13.81640625" style="2" bestFit="1" customWidth="1"/>
  </cols>
  <sheetData>
    <row r="1" spans="2:21" s="10" customFormat="1" ht="26.5" customHeight="1" x14ac:dyDescent="0.55000000000000004">
      <c r="C1" s="57"/>
      <c r="E1" s="59"/>
      <c r="I1" s="59"/>
    </row>
    <row r="2" spans="2:21" s="10" customFormat="1" ht="23.25" customHeight="1" x14ac:dyDescent="0.35">
      <c r="B2" s="537" t="s">
        <v>1406</v>
      </c>
      <c r="E2" s="59"/>
      <c r="I2" s="59"/>
    </row>
    <row r="3" spans="2:21" ht="15" customHeight="1" thickBot="1" x14ac:dyDescent="0.4"/>
    <row r="4" spans="2:21" ht="30" customHeight="1" thickTop="1" thickBot="1" x14ac:dyDescent="0.4">
      <c r="C4" s="705" t="s">
        <v>1529</v>
      </c>
      <c r="D4" s="706"/>
      <c r="E4" s="20"/>
      <c r="F4" s="705" t="s">
        <v>1530</v>
      </c>
      <c r="G4" s="706"/>
      <c r="U4" s="21">
        <f>IF(ISERROR(SUM(U5:U6)),"",SUM(U5:U6))</f>
        <v>1938036280.8599999</v>
      </c>
    </row>
    <row r="5" spans="2:21" ht="30" customHeight="1" thickTop="1" thickBot="1" x14ac:dyDescent="0.4">
      <c r="C5" s="39" t="s">
        <v>1334</v>
      </c>
      <c r="D5" s="116">
        <f>IF(ISERROR('Passivo Corrente'!$E$4),"",'Passivo Corrente'!$E$4)</f>
        <v>1938036280.8599999</v>
      </c>
      <c r="E5" s="20"/>
      <c r="F5" s="795" t="str">
        <f>IF($D$8&lt;=1,"A empresa não possui extrema dependência de capital de terceiro, o que melhora a solvência","A empresa possui extrema dependência de capital de terceiros o que pode denotar insolvência, porém em alguns segmentos o índice de endividamento de capital de terceiros é comum e necessário no mercado, recomendamos uma análise mais profunda")</f>
        <v>A empresa não possui extrema dependência de capital de terceiro, o que melhora a solvência</v>
      </c>
      <c r="G5" s="795"/>
      <c r="U5" s="21">
        <f>IF(ISERROR(D22),"",D22)</f>
        <v>1938036280.8599999</v>
      </c>
    </row>
    <row r="6" spans="2:21" ht="30" customHeight="1" thickTop="1" thickBot="1" x14ac:dyDescent="0.4">
      <c r="C6" s="39" t="s">
        <v>1531</v>
      </c>
      <c r="D6" s="116">
        <f>IF(ISERROR('Passivo Não Corrente'!$L$23),"",'Passivo Não Corrente'!$L$23)</f>
        <v>0</v>
      </c>
      <c r="E6" s="20"/>
      <c r="F6" s="795"/>
      <c r="G6" s="795"/>
      <c r="I6"/>
      <c r="U6" s="21" t="str">
        <f>IF(ISERROR(#REF!),"",#REF!)</f>
        <v/>
      </c>
    </row>
    <row r="7" spans="2:21" ht="30" customHeight="1" thickTop="1" thickBot="1" x14ac:dyDescent="0.4">
      <c r="C7" s="39" t="s">
        <v>1292</v>
      </c>
      <c r="D7" s="116">
        <f>IF(ISERROR('Capital Próprio'!$E$4),"",'Capital Próprio'!$E$4)</f>
        <v>3181566010.0900011</v>
      </c>
      <c r="E7" s="20"/>
      <c r="F7" s="795"/>
      <c r="G7" s="795"/>
      <c r="I7"/>
      <c r="U7" s="2"/>
    </row>
    <row r="8" spans="2:21" ht="30" customHeight="1" thickTop="1" thickBot="1" x14ac:dyDescent="0.4">
      <c r="C8" s="38" t="s">
        <v>1416</v>
      </c>
      <c r="D8" s="55">
        <f>IF(ISERROR(ROUND(SUM(D5:D6)/D7,2)),"",ROUND(SUM(D5:D6)/D7,2))</f>
        <v>0.61</v>
      </c>
      <c r="E8" s="20"/>
      <c r="F8" s="795"/>
      <c r="G8" s="795"/>
    </row>
    <row r="9" spans="2:21" ht="30" customHeight="1" thickTop="1" thickBot="1" x14ac:dyDescent="0.4">
      <c r="E9" s="20"/>
      <c r="I9" s="20"/>
    </row>
    <row r="10" spans="2:21" ht="30" customHeight="1" thickTop="1" thickBot="1" x14ac:dyDescent="0.4">
      <c r="C10" s="683" t="s">
        <v>1532</v>
      </c>
      <c r="D10" s="684"/>
      <c r="E10" s="20"/>
      <c r="F10" s="683" t="s">
        <v>1530</v>
      </c>
      <c r="G10" s="684"/>
      <c r="I10" s="20"/>
    </row>
    <row r="11" spans="2:21" ht="30" customHeight="1" thickTop="1" thickBot="1" x14ac:dyDescent="0.4">
      <c r="C11" s="39" t="s">
        <v>1533</v>
      </c>
      <c r="D11" s="116">
        <f>IF(ISERROR('Passivo Corrente'!L6+'Passivo Não Corrente'!L6),"",'Passivo Corrente'!L6+'Passivo Não Corrente'!L6)</f>
        <v>0</v>
      </c>
      <c r="E11" s="20"/>
      <c r="F11" s="793" t="str">
        <f>IF(ISERROR("O percentual que a empresa possui referente a dívidas com estabelecimentos bancários no país e no exterior em relação ao capital de terceiros é de " &amp; ($D$14)),"","O percentual que a empresa possui referente a dívidas com estabelecimentos bancários no país e no exterior em relação ao capital de terceiros é de " &amp; ($D$14))</f>
        <v>O percentual que a empresa possui referente a dívidas com estabelecimentos bancários no país e no exterior em relação ao capital de terceiros é de 0%</v>
      </c>
      <c r="G11" s="793"/>
      <c r="I11" s="20"/>
    </row>
    <row r="12" spans="2:21" ht="30" customHeight="1" thickTop="1" thickBot="1" x14ac:dyDescent="0.4">
      <c r="C12" s="39" t="s">
        <v>1334</v>
      </c>
      <c r="D12" s="116">
        <f>IF(ISERROR('Passivo Corrente'!E4),"",'Passivo Corrente'!E4)</f>
        <v>1938036280.8599999</v>
      </c>
      <c r="E12" s="20"/>
      <c r="F12" s="793"/>
      <c r="G12" s="793"/>
      <c r="I12" s="20"/>
    </row>
    <row r="13" spans="2:21" ht="30" customHeight="1" thickTop="1" thickBot="1" x14ac:dyDescent="0.4">
      <c r="C13" s="39" t="s">
        <v>1531</v>
      </c>
      <c r="D13" s="116">
        <f>IF(ISERROR('Passivo Não Corrente'!$L$23),"",'Passivo Não Corrente'!$L$23)</f>
        <v>0</v>
      </c>
      <c r="E13" s="20"/>
      <c r="F13" s="793"/>
      <c r="G13" s="793"/>
      <c r="I13" s="20"/>
    </row>
    <row r="14" spans="2:21" ht="30" customHeight="1" thickTop="1" thickBot="1" x14ac:dyDescent="0.4">
      <c r="C14" s="39" t="s">
        <v>1416</v>
      </c>
      <c r="D14" s="62" t="str">
        <f>IF(ISERROR(ROUND((D11/SUM(D12:D13))*100,2)&amp;"%"),"",ROUND((D11/SUM(D12:D13))*100,2)&amp;"%")</f>
        <v>0%</v>
      </c>
      <c r="E14" s="20"/>
      <c r="F14" s="793"/>
      <c r="G14" s="793"/>
      <c r="I14" s="20"/>
    </row>
    <row r="15" spans="2:21" ht="30" customHeight="1" thickTop="1" thickBot="1" x14ac:dyDescent="0.4"/>
    <row r="16" spans="2:21" ht="30" customHeight="1" thickTop="1" thickBot="1" x14ac:dyDescent="0.4">
      <c r="C16" s="683" t="s">
        <v>1534</v>
      </c>
      <c r="D16" s="684"/>
      <c r="E16" s="21"/>
      <c r="F16" s="683" t="s">
        <v>1530</v>
      </c>
      <c r="G16" s="684"/>
      <c r="I16" s="21"/>
    </row>
    <row r="17" spans="3:9" ht="30" customHeight="1" thickTop="1" thickBot="1" x14ac:dyDescent="0.4">
      <c r="C17" s="39" t="s">
        <v>1533</v>
      </c>
      <c r="D17" s="116">
        <f>IF(ISERROR('Passivo Corrente'!L6+'Passivo Não Corrente'!L6),"",'Passivo Corrente'!L6+'Passivo Não Corrente'!L6)</f>
        <v>0</v>
      </c>
      <c r="E17" s="21"/>
      <c r="F17" s="793" t="str">
        <f>IF(ISERROR("O percentual que empresa possui referente a dívidas com estabelecimentos bancários no país e no exterior em relação ao capital próprio é de " &amp; ($D$19)),"","O percentual que empresa possui referente a dívidas com estabelecimentos bancários no país e no exterior em relação ao capital próprio é de " &amp; ($D$19))</f>
        <v>O percentual que empresa possui referente a dívidas com estabelecimentos bancários no país e no exterior em relação ao capital próprio é de 0%</v>
      </c>
      <c r="G17" s="793"/>
      <c r="I17" s="21"/>
    </row>
    <row r="18" spans="3:9" ht="30" customHeight="1" thickTop="1" thickBot="1" x14ac:dyDescent="0.4">
      <c r="C18" s="39" t="s">
        <v>1292</v>
      </c>
      <c r="D18" s="116">
        <f>IF(ISERROR('Capital Próprio'!$E$4),"",'Capital Próprio'!$E$4)</f>
        <v>3181566010.0900011</v>
      </c>
      <c r="E18" s="21"/>
      <c r="F18" s="793"/>
      <c r="G18" s="793"/>
      <c r="I18" s="21"/>
    </row>
    <row r="19" spans="3:9" ht="30" customHeight="1" thickTop="1" thickBot="1" x14ac:dyDescent="0.4">
      <c r="C19" s="38" t="s">
        <v>1416</v>
      </c>
      <c r="D19" s="62" t="str">
        <f>IF(ISERROR(ROUND((D17/D18)*100,2)&amp;"%"),"",ROUND((D17/D18)*100,2)&amp;"%")</f>
        <v>0%</v>
      </c>
      <c r="E19" s="21"/>
      <c r="F19" s="793"/>
      <c r="G19" s="793"/>
      <c r="I19" s="21"/>
    </row>
    <row r="20" spans="3:9" ht="30" customHeight="1" thickTop="1" thickBot="1" x14ac:dyDescent="0.4"/>
    <row r="21" spans="3:9" ht="30" customHeight="1" thickTop="1" thickBot="1" x14ac:dyDescent="0.4">
      <c r="C21" s="683" t="s">
        <v>1535</v>
      </c>
      <c r="D21" s="684"/>
      <c r="F21" s="683" t="s">
        <v>1530</v>
      </c>
      <c r="G21" s="684"/>
    </row>
    <row r="22" spans="3:9" ht="30" customHeight="1" thickTop="1" thickBot="1" x14ac:dyDescent="0.4">
      <c r="C22" s="39" t="s">
        <v>1334</v>
      </c>
      <c r="D22" s="116">
        <f>IF(ISERROR('Passivo Corrente'!$E$4),"",'Passivo Corrente'!$E$4)</f>
        <v>1938036280.8599999</v>
      </c>
      <c r="E22" s="8"/>
      <c r="F22" s="794" t="str">
        <f>IF($D$24&lt;=50%,"A empresa possui menos de 50% do Capital de Terceiros comprometido no curto prazo, ou seja, possui uma folga para pagamento. Quanto menor melhor.","A empresa possui mais de 50% do Capital de Terceiros comprometido no curto prazo, ou seja, possui uma grande quantidade de pagamentos a serem feitas ainda no exercício. Quanto maior mais arriscado.")</f>
        <v>A empresa possui mais de 50% do Capital de Terceiros comprometido no curto prazo, ou seja, possui uma grande quantidade de pagamentos a serem feitas ainda no exercício. Quanto maior mais arriscado.</v>
      </c>
      <c r="G22" s="794"/>
    </row>
    <row r="23" spans="3:9" ht="30" customHeight="1" thickTop="1" thickBot="1" x14ac:dyDescent="0.4">
      <c r="C23" s="39" t="s">
        <v>1304</v>
      </c>
      <c r="D23" s="116">
        <f>IF(ISERROR('Passivo Não Corrente'!E4),"",'Passivo Não Corrente'!E4)</f>
        <v>0</v>
      </c>
      <c r="E23" s="8"/>
      <c r="F23" s="794"/>
      <c r="G23" s="794"/>
    </row>
    <row r="24" spans="3:9" ht="30" customHeight="1" thickTop="1" thickBot="1" x14ac:dyDescent="0.4">
      <c r="C24" s="38" t="s">
        <v>1416</v>
      </c>
      <c r="D24" s="55" t="str">
        <f>IF(ISERROR(ROUND((D22/SUM(D22:D23))*100,2)&amp;"%"),"",ROUND((D22/SUM(D22:D23))*100,2)&amp;"%")</f>
        <v>100%</v>
      </c>
      <c r="F24" s="794"/>
      <c r="G24" s="794"/>
    </row>
    <row r="25" spans="3:9" ht="30" customHeight="1" thickTop="1" thickBot="1" x14ac:dyDescent="0.4">
      <c r="I25" s="21"/>
    </row>
    <row r="26" spans="3:9" ht="30" customHeight="1" thickTop="1" thickBot="1" x14ac:dyDescent="0.4">
      <c r="C26" s="683" t="s">
        <v>1780</v>
      </c>
      <c r="D26" s="684"/>
      <c r="E26" s="21"/>
      <c r="F26" s="683" t="s">
        <v>1530</v>
      </c>
      <c r="G26" s="684"/>
    </row>
    <row r="27" spans="3:9" ht="30" customHeight="1" thickTop="1" thickBot="1" x14ac:dyDescent="0.4">
      <c r="C27" s="22" t="s">
        <v>1536</v>
      </c>
      <c r="D27" s="116">
        <f>IF(ISERROR('Activos Não Correntes'!$L$24),"",'Activos Não Correntes'!$L$24)</f>
        <v>3444950457.0999999</v>
      </c>
      <c r="E27" s="21"/>
      <c r="F27" s="792" t="str">
        <f>IF(ISERROR("O Capital Próprio financia " &amp; ($D$29) &amp; " do activo não corrente da empresa, o que indica menor necessidade de capital de terceiros para manutenção dos negócios"),"","O Capital Próprio financia " &amp; ($D$29) &amp; " do activo não corrente da empresa, o que indica menor necessidade de capital de terceiros para manutenção dos negócios")</f>
        <v>O Capital Próprio financia 108,28% do activo não corrente da empresa, o que indica menor necessidade de capital de terceiros para manutenção dos negócios</v>
      </c>
      <c r="G27" s="792"/>
    </row>
    <row r="28" spans="3:9" ht="30" customHeight="1" thickTop="1" thickBot="1" x14ac:dyDescent="0.4">
      <c r="C28" s="22" t="s">
        <v>1292</v>
      </c>
      <c r="D28" s="116">
        <f>IF(ISERROR('Capital Próprio'!$E$4),"",'Capital Próprio'!$E$4)</f>
        <v>3181566010.0900011</v>
      </c>
      <c r="E28" s="21"/>
      <c r="F28" s="792"/>
      <c r="G28" s="792"/>
    </row>
    <row r="29" spans="3:9" ht="30" customHeight="1" thickTop="1" thickBot="1" x14ac:dyDescent="0.4">
      <c r="C29" s="22" t="s">
        <v>1416</v>
      </c>
      <c r="D29" s="64" t="str">
        <f>IF(ISERROR(ROUND((D27*100)/D28,2) &amp; "%"),"",ROUND((D27*100)/D28,2) &amp; "%")</f>
        <v>108,28%</v>
      </c>
      <c r="E29" s="20"/>
      <c r="F29" s="792"/>
      <c r="G29" s="792"/>
    </row>
    <row r="30" spans="3:9" ht="30" customHeight="1" thickTop="1" x14ac:dyDescent="0.35"/>
    <row r="31" spans="3:9" ht="30" customHeight="1" x14ac:dyDescent="0.35">
      <c r="E31"/>
    </row>
    <row r="32" spans="3:9" ht="30" customHeight="1" x14ac:dyDescent="0.35">
      <c r="E32"/>
    </row>
    <row r="33" spans="5:5" ht="30" customHeight="1" x14ac:dyDescent="0.35">
      <c r="E33"/>
    </row>
    <row r="34" spans="5:5" ht="30" customHeight="1" x14ac:dyDescent="0.35">
      <c r="E34"/>
    </row>
    <row r="35" spans="5:5" ht="30" customHeight="1" x14ac:dyDescent="0.35"/>
    <row r="36" spans="5:5" ht="30" customHeight="1" x14ac:dyDescent="0.35"/>
    <row r="37" spans="5:5" ht="30" customHeight="1" x14ac:dyDescent="0.35"/>
    <row r="38" spans="5:5" ht="30" customHeight="1" x14ac:dyDescent="0.35"/>
    <row r="39" spans="5:5" ht="30" customHeight="1" x14ac:dyDescent="0.35"/>
    <row r="40" spans="5:5" ht="30" customHeight="1" x14ac:dyDescent="0.35"/>
    <row r="41" spans="5:5" ht="30" customHeight="1" x14ac:dyDescent="0.35"/>
    <row r="42" spans="5:5" ht="30" customHeight="1" x14ac:dyDescent="0.35"/>
    <row r="43" spans="5:5" ht="30" customHeight="1" x14ac:dyDescent="0.35"/>
    <row r="44" spans="5:5" ht="30" customHeight="1" x14ac:dyDescent="0.35"/>
    <row r="45" spans="5:5" ht="30" customHeight="1" x14ac:dyDescent="0.35"/>
    <row r="46" spans="5:5" ht="30" customHeight="1" x14ac:dyDescent="0.35"/>
    <row r="47" spans="5:5" ht="30" customHeight="1" x14ac:dyDescent="0.35"/>
    <row r="48" spans="5:5" ht="30" customHeight="1" x14ac:dyDescent="0.35"/>
    <row r="49" ht="30" customHeight="1" x14ac:dyDescent="0.35"/>
    <row r="50" ht="30" customHeight="1" x14ac:dyDescent="0.35"/>
    <row r="51" ht="30" customHeight="1" x14ac:dyDescent="0.35"/>
    <row r="52" ht="30" customHeight="1" x14ac:dyDescent="0.35"/>
    <row r="53" ht="30" customHeight="1" x14ac:dyDescent="0.35"/>
    <row r="54" ht="30" customHeight="1" x14ac:dyDescent="0.35"/>
    <row r="55" ht="30" customHeight="1" x14ac:dyDescent="0.35"/>
    <row r="56" ht="30" customHeight="1" x14ac:dyDescent="0.35"/>
    <row r="57" ht="30" customHeight="1" x14ac:dyDescent="0.35"/>
    <row r="58" ht="30" customHeight="1" x14ac:dyDescent="0.35"/>
    <row r="59" ht="30" customHeight="1" x14ac:dyDescent="0.35"/>
    <row r="60" ht="30" customHeight="1" x14ac:dyDescent="0.35"/>
    <row r="61" ht="30" customHeight="1" x14ac:dyDescent="0.35"/>
    <row r="62" ht="30" customHeight="1" x14ac:dyDescent="0.35"/>
    <row r="63" ht="30" customHeight="1" x14ac:dyDescent="0.35"/>
    <row r="64" ht="30" customHeight="1" x14ac:dyDescent="0.35"/>
    <row r="65" ht="30" customHeight="1" x14ac:dyDescent="0.35"/>
    <row r="66" ht="30" customHeight="1" x14ac:dyDescent="0.35"/>
    <row r="67" ht="30" customHeight="1" x14ac:dyDescent="0.35"/>
    <row r="68" ht="30" customHeight="1" x14ac:dyDescent="0.35"/>
    <row r="69" ht="30" customHeight="1" x14ac:dyDescent="0.35"/>
    <row r="70" ht="30" customHeight="1" x14ac:dyDescent="0.35"/>
    <row r="71" ht="30" customHeight="1" x14ac:dyDescent="0.35"/>
    <row r="72" ht="30" customHeight="1" x14ac:dyDescent="0.35"/>
    <row r="73" ht="30" customHeight="1" x14ac:dyDescent="0.35"/>
    <row r="74" ht="30" customHeight="1" x14ac:dyDescent="0.35"/>
    <row r="75" ht="30" customHeight="1" x14ac:dyDescent="0.35"/>
    <row r="76" ht="30" customHeight="1" x14ac:dyDescent="0.35"/>
    <row r="77" ht="30" customHeight="1" x14ac:dyDescent="0.35"/>
    <row r="78" ht="30" customHeight="1" x14ac:dyDescent="0.35"/>
    <row r="79" ht="30" customHeight="1" x14ac:dyDescent="0.35"/>
    <row r="80" ht="30" customHeight="1" x14ac:dyDescent="0.35"/>
    <row r="81" ht="30" customHeight="1" x14ac:dyDescent="0.35"/>
    <row r="82" ht="30" customHeight="1" x14ac:dyDescent="0.35"/>
    <row r="83" ht="30" customHeight="1" x14ac:dyDescent="0.35"/>
    <row r="84" ht="30" customHeight="1" x14ac:dyDescent="0.35"/>
    <row r="85" ht="30" customHeight="1" x14ac:dyDescent="0.35"/>
    <row r="86" ht="30" customHeight="1" x14ac:dyDescent="0.35"/>
    <row r="87" ht="30" customHeight="1" x14ac:dyDescent="0.35"/>
    <row r="88" ht="30" customHeight="1" x14ac:dyDescent="0.35"/>
    <row r="89" ht="30" customHeight="1" x14ac:dyDescent="0.35"/>
    <row r="90" ht="30" customHeight="1" x14ac:dyDescent="0.35"/>
    <row r="91" ht="30" customHeight="1" x14ac:dyDescent="0.35"/>
    <row r="92" ht="30" customHeight="1" x14ac:dyDescent="0.35"/>
    <row r="93" ht="30" customHeight="1" x14ac:dyDescent="0.35"/>
    <row r="94" ht="30" customHeight="1" x14ac:dyDescent="0.35"/>
    <row r="95" ht="30" customHeight="1" x14ac:dyDescent="0.35"/>
    <row r="96" ht="30" customHeight="1" x14ac:dyDescent="0.35"/>
    <row r="97" ht="30" customHeight="1" x14ac:dyDescent="0.35"/>
    <row r="98" ht="30" customHeight="1" x14ac:dyDescent="0.35"/>
    <row r="99" ht="30" customHeight="1" x14ac:dyDescent="0.35"/>
    <row r="100" ht="30" customHeight="1" x14ac:dyDescent="0.35"/>
    <row r="101" ht="30" customHeight="1" x14ac:dyDescent="0.35"/>
    <row r="102" ht="30" customHeight="1" x14ac:dyDescent="0.35"/>
    <row r="103" ht="30" customHeight="1" x14ac:dyDescent="0.35"/>
  </sheetData>
  <mergeCells count="15">
    <mergeCell ref="C10:D10"/>
    <mergeCell ref="C4:D4"/>
    <mergeCell ref="C21:D21"/>
    <mergeCell ref="F5:G8"/>
    <mergeCell ref="F4:G4"/>
    <mergeCell ref="F10:G10"/>
    <mergeCell ref="F11:G14"/>
    <mergeCell ref="F21:G21"/>
    <mergeCell ref="F27:G29"/>
    <mergeCell ref="F26:G26"/>
    <mergeCell ref="F16:G16"/>
    <mergeCell ref="F17:G19"/>
    <mergeCell ref="C26:D26"/>
    <mergeCell ref="C16:D16"/>
    <mergeCell ref="F22:G24"/>
  </mergeCells>
  <conditionalFormatting sqref="D8">
    <cfRule type="cellIs" dxfId="38" priority="1" operator="greaterThan">
      <formula>1</formula>
    </cfRule>
    <cfRule type="cellIs" dxfId="37" priority="2" operator="lessThanOrEqual">
      <formula>" =1"</formula>
    </cfRule>
  </conditionalFormatting>
  <conditionalFormatting sqref="D24">
    <cfRule type="cellIs" dxfId="36" priority="21" operator="greaterThan">
      <formula>0.5</formula>
    </cfRule>
    <cfRule type="cellIs" dxfId="35" priority="22" operator="lessThanOrEqual">
      <formula>0.5</formula>
    </cfRule>
  </conditionalFormatting>
  <conditionalFormatting sqref="F5">
    <cfRule type="containsText" dxfId="34" priority="27" operator="containsText" text="A empresa possui extrema dependência de capital de terceiros o que pode denotar insolvência, porém em alguns segmentos o índice de endividamento de capital de terceiros é comum e necessário no mercado, recomendamos uma análise mais profunda">
      <formula>NOT(ISERROR(SEARCH("A empresa possui extrema dependência de capital de terceiros o que pode denotar insolvência, porém em alguns segmentos o índice de endividamento de capital de terceiros é comum e necessário no mercado, recomendamos uma análise mais profunda",F5)))</formula>
    </cfRule>
    <cfRule type="containsText" dxfId="33" priority="28" operator="containsText" text="A empresa não possui extrema dependência de capital de terceiro, o que melhora a solvência">
      <formula>NOT(ISERROR(SEARCH("A empresa não possui extrema dependência de capital de terceiro, o que melhora a solvência",F5)))</formula>
    </cfRule>
  </conditionalFormatting>
  <conditionalFormatting sqref="F22:F23">
    <cfRule type="containsText" dxfId="32" priority="19" operator="containsText" text="A empresa possui mais de 50% do Capital de Terceiros comprometido no curto prazo, ou seja, possui uma grande quantidade de pagamentos a serem feitas ainda no exercício. Quanto maior mais arriscado.">
      <formula>NOT(ISERROR(SEARCH("A empresa possui mais de 50% do Capital de Terceiros comprometido no curto prazo, ou seja, possui uma grande quantidade de pagamentos a serem feitas ainda no exercício. Quanto maior mais arriscado.",F22)))</formula>
    </cfRule>
    <cfRule type="containsText" dxfId="31" priority="20" operator="containsText" text="A empresa possui menos de 50% do Capital de Terceiros comprometido no curto prazo, ou seja, possui uma folga para pagamento. Quanto menor melhor.">
      <formula>NOT(ISERROR(SEARCH("A empresa possui menos de 50% do Capital de Terceiros comprometido no curto prazo, ou seja, possui uma folga para pagamento. Quanto menor melhor.",F22)))</formula>
    </cfRule>
  </conditionalFormatting>
  <pageMargins left="0.511811024" right="0.511811024" top="0.78740157499999996" bottom="0.78740157499999996" header="0.31496062000000002" footer="0.31496062000000002"/>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Planilha12"/>
  <dimension ref="B1:I109"/>
  <sheetViews>
    <sheetView showGridLines="0" zoomScaleNormal="100" workbookViewId="0">
      <pane ySplit="3" topLeftCell="A4" activePane="bottomLeft" state="frozen"/>
      <selection pane="bottomLeft" activeCell="L23" sqref="L23"/>
    </sheetView>
  </sheetViews>
  <sheetFormatPr defaultColWidth="8.90625" defaultRowHeight="14.5" zeroHeight="1" x14ac:dyDescent="0.35"/>
  <cols>
    <col min="1" max="1" width="8.1796875" customWidth="1"/>
    <col min="2" max="2" width="2.7265625" customWidth="1"/>
    <col min="3" max="3" width="40.6328125" customWidth="1"/>
    <col min="4" max="4" width="23" bestFit="1" customWidth="1"/>
    <col min="5" max="5" width="40.6328125" customWidth="1"/>
    <col min="6" max="7" width="15.6328125" customWidth="1"/>
    <col min="8" max="9" width="11" bestFit="1" customWidth="1"/>
  </cols>
  <sheetData>
    <row r="1" spans="2:9" s="10" customFormat="1" ht="26.5" customHeight="1" x14ac:dyDescent="0.55000000000000004">
      <c r="B1" s="56"/>
      <c r="C1" s="57"/>
    </row>
    <row r="2" spans="2:9" s="10" customFormat="1" ht="23.25" customHeight="1" x14ac:dyDescent="0.35">
      <c r="B2" s="537" t="s">
        <v>1406</v>
      </c>
    </row>
    <row r="3" spans="2:9" ht="15" customHeight="1" thickBot="1" x14ac:dyDescent="0.4"/>
    <row r="4" spans="2:9" ht="30" customHeight="1" thickTop="1" thickBot="1" x14ac:dyDescent="0.4">
      <c r="C4" s="683" t="s">
        <v>1537</v>
      </c>
      <c r="D4" s="684"/>
      <c r="E4" s="683" t="s">
        <v>1530</v>
      </c>
      <c r="F4" s="684"/>
    </row>
    <row r="5" spans="2:9" ht="30" customHeight="1" thickTop="1" thickBot="1" x14ac:dyDescent="0.4">
      <c r="C5" s="39" t="s">
        <v>1538</v>
      </c>
      <c r="D5" s="116">
        <f>IF(ISERROR('Activos Correntes'!E4),"",'Activos Correntes'!E4)</f>
        <v>1565093126.4300001</v>
      </c>
      <c r="E5" s="794" t="str">
        <f>IF($D$7&gt;=1,"A empresa possui recursos para honrar seus compromissos de curto prazo.","A empresa não possui recursos para honrar seus compromissos de curto prazo")</f>
        <v>A empresa não possui recursos para honrar seus compromissos de curto prazo</v>
      </c>
      <c r="F5" s="794"/>
    </row>
    <row r="6" spans="2:9" ht="30" customHeight="1" thickTop="1" thickBot="1" x14ac:dyDescent="0.4">
      <c r="C6" s="39" t="s">
        <v>1334</v>
      </c>
      <c r="D6" s="116">
        <f>IF(ISERROR('Passivo Corrente'!$E$4),"",'Passivo Corrente'!$E$4)</f>
        <v>1938036280.8599999</v>
      </c>
      <c r="E6" s="794"/>
      <c r="F6" s="794"/>
    </row>
    <row r="7" spans="2:9" ht="30" customHeight="1" thickTop="1" thickBot="1" x14ac:dyDescent="0.4">
      <c r="C7" s="38" t="s">
        <v>1539</v>
      </c>
      <c r="D7" s="535">
        <f>IF(ISERROR(ROUND(D5/D6,2)),"",ROUND(D5/D6,2))</f>
        <v>0.81</v>
      </c>
      <c r="E7" s="794"/>
      <c r="F7" s="794"/>
    </row>
    <row r="8" spans="2:9" ht="30" customHeight="1" thickTop="1" thickBot="1" x14ac:dyDescent="0.4">
      <c r="I8" s="2"/>
    </row>
    <row r="9" spans="2:9" ht="30" customHeight="1" thickTop="1" thickBot="1" x14ac:dyDescent="0.4">
      <c r="C9" s="683" t="s">
        <v>1540</v>
      </c>
      <c r="D9" s="684"/>
      <c r="E9" s="683" t="s">
        <v>1530</v>
      </c>
      <c r="F9" s="684"/>
      <c r="H9" s="2"/>
      <c r="I9" s="2"/>
    </row>
    <row r="10" spans="2:9" ht="30" customHeight="1" thickTop="1" thickBot="1" x14ac:dyDescent="0.4">
      <c r="C10" s="39" t="s">
        <v>1541</v>
      </c>
      <c r="D10" s="116">
        <f>IF(ISERROR('Activos Correntes'!L5),"",'Activos Correntes'!L5)</f>
        <v>0</v>
      </c>
      <c r="E10" s="794" t="str">
        <f>IF($D$12&gt;=1,"A empresa possui recursos financeiros disponíveis para honrar seus compromisso de curto prazo.","A empresa não possui recursos financeiros disponíveis para honrar seus compromisso de curto prazo, ficando dependente da operação e demais recursos.")</f>
        <v>A empresa não possui recursos financeiros disponíveis para honrar seus compromisso de curto prazo, ficando dependente da operação e demais recursos.</v>
      </c>
      <c r="F10" s="794"/>
      <c r="H10" s="2"/>
      <c r="I10" s="2"/>
    </row>
    <row r="11" spans="2:9" ht="30" customHeight="1" thickTop="1" thickBot="1" x14ac:dyDescent="0.4">
      <c r="C11" s="39" t="s">
        <v>1334</v>
      </c>
      <c r="D11" s="116">
        <f>IF(ISERROR('Passivo Corrente'!$E$4),"",'Passivo Corrente'!$E$4)</f>
        <v>1938036280.8599999</v>
      </c>
      <c r="E11" s="794"/>
      <c r="F11" s="794"/>
      <c r="H11" s="2"/>
      <c r="I11" s="2"/>
    </row>
    <row r="12" spans="2:9" ht="30" customHeight="1" thickTop="1" thickBot="1" x14ac:dyDescent="0.4">
      <c r="C12" s="38" t="s">
        <v>1542</v>
      </c>
      <c r="D12" s="535">
        <f>IF(ISERROR(ROUND(D10/D11,2)),"",ROUND(D10/D11,2))</f>
        <v>0</v>
      </c>
      <c r="E12" s="794"/>
      <c r="F12" s="794"/>
      <c r="H12" s="2"/>
      <c r="I12" s="2"/>
    </row>
    <row r="13" spans="2:9" ht="30" customHeight="1" thickTop="1" thickBot="1" x14ac:dyDescent="0.4">
      <c r="H13" s="2"/>
      <c r="I13" s="2"/>
    </row>
    <row r="14" spans="2:9" ht="30" customHeight="1" thickTop="1" thickBot="1" x14ac:dyDescent="0.4">
      <c r="C14" s="683" t="s">
        <v>1543</v>
      </c>
      <c r="D14" s="684"/>
      <c r="E14" s="683" t="s">
        <v>1530</v>
      </c>
      <c r="F14" s="684"/>
    </row>
    <row r="15" spans="2:9" ht="30" customHeight="1" thickTop="1" thickBot="1" x14ac:dyDescent="0.4">
      <c r="C15" s="39" t="s">
        <v>1538</v>
      </c>
      <c r="D15" s="116">
        <f>IF(ISERROR('Activos Correntes'!$E$4),"",'Activos Correntes'!$E$4)</f>
        <v>1565093126.4300001</v>
      </c>
      <c r="E15" s="796" t="str">
        <f>IF($D$18&gt;=1,"A empresa tem recursos suficientes para arcar com os compromisso de curto prazo sem depender da venda de seus estoques.","A empresa não possui recursos suficientes para arcar com os compromissos de curto prazo sem que dependa da venda de seus estoques.")</f>
        <v>A empresa não possui recursos suficientes para arcar com os compromissos de curto prazo sem que dependa da venda de seus estoques.</v>
      </c>
      <c r="F15" s="796"/>
    </row>
    <row r="16" spans="2:9" ht="30" customHeight="1" thickTop="1" thickBot="1" x14ac:dyDescent="0.4">
      <c r="C16" s="39" t="s">
        <v>154</v>
      </c>
      <c r="D16" s="116">
        <f>IF(ISERROR('Activos Correntes'!$L$7),"",'Activos Correntes'!$L$7)</f>
        <v>52657492.650000155</v>
      </c>
      <c r="E16" s="796"/>
      <c r="F16" s="796"/>
    </row>
    <row r="17" spans="3:6" ht="30" customHeight="1" thickTop="1" thickBot="1" x14ac:dyDescent="0.4">
      <c r="C17" s="39" t="s">
        <v>1334</v>
      </c>
      <c r="D17" s="116">
        <f>IF(ISERROR('Passivo Corrente'!$E$4),"",'Passivo Corrente'!$E$4)</f>
        <v>1938036280.8599999</v>
      </c>
      <c r="E17" s="796"/>
      <c r="F17" s="796"/>
    </row>
    <row r="18" spans="3:6" ht="30" customHeight="1" thickTop="1" thickBot="1" x14ac:dyDescent="0.4">
      <c r="C18" s="39" t="s">
        <v>1544</v>
      </c>
      <c r="D18" s="535">
        <f>IF(ISERROR(ROUND((D15-D16)/D17,2)),"",ROUND((D15-D16)/D17,2))</f>
        <v>0.78</v>
      </c>
      <c r="E18" s="796"/>
      <c r="F18" s="796"/>
    </row>
    <row r="19" spans="3:6" ht="30" customHeight="1" thickTop="1" thickBot="1" x14ac:dyDescent="0.4"/>
    <row r="20" spans="3:6" ht="30" customHeight="1" thickTop="1" thickBot="1" x14ac:dyDescent="0.4">
      <c r="C20" s="683" t="s">
        <v>1545</v>
      </c>
      <c r="D20" s="684"/>
      <c r="E20" s="683" t="s">
        <v>1530</v>
      </c>
      <c r="F20" s="684"/>
    </row>
    <row r="21" spans="3:6" ht="30" customHeight="1" thickTop="1" thickBot="1" x14ac:dyDescent="0.4">
      <c r="C21" s="39" t="s">
        <v>1538</v>
      </c>
      <c r="D21" s="116">
        <f>IF(ISERROR('Activos Correntes'!$E$4),"",'Activos Correntes'!$E$4)</f>
        <v>1565093126.4300001</v>
      </c>
      <c r="E21" s="794" t="str">
        <f>IF($D$25&gt;=1,"A empresa possui recursos suficientes para arcar com todos os seus compromissos.","A empresa não possui recursos o suficiente para arcar com os seus compromissos.")</f>
        <v>A empresa possui recursos suficientes para arcar com todos os seus compromissos.</v>
      </c>
      <c r="F21" s="794"/>
    </row>
    <row r="22" spans="3:6" ht="30" customHeight="1" thickTop="1" thickBot="1" x14ac:dyDescent="0.4">
      <c r="C22" s="39" t="s">
        <v>1546</v>
      </c>
      <c r="D22" s="116">
        <f>IF(ISERROR('Activos Não Correntes'!$L$21),"",'Activos Não Correntes'!$L$21)</f>
        <v>3444950457.0999999</v>
      </c>
      <c r="E22" s="794"/>
      <c r="F22" s="794"/>
    </row>
    <row r="23" spans="3:6" ht="30" customHeight="1" thickTop="1" thickBot="1" x14ac:dyDescent="0.4">
      <c r="C23" s="39" t="s">
        <v>1334</v>
      </c>
      <c r="D23" s="116">
        <f>IF(ISERROR('Passivo Corrente'!$E$4),"",'Passivo Corrente'!$E$4)</f>
        <v>1938036280.8599999</v>
      </c>
      <c r="E23" s="794"/>
      <c r="F23" s="794"/>
    </row>
    <row r="24" spans="3:6" ht="30" customHeight="1" thickTop="1" thickBot="1" x14ac:dyDescent="0.4">
      <c r="C24" s="39" t="s">
        <v>1304</v>
      </c>
      <c r="D24" s="116">
        <f>IF(ISERROR('Passivo Não Corrente'!$E$4),"",'Passivo Não Corrente'!$E$4)</f>
        <v>0</v>
      </c>
      <c r="E24" s="794"/>
      <c r="F24" s="794"/>
    </row>
    <row r="25" spans="3:6" ht="30" customHeight="1" thickTop="1" thickBot="1" x14ac:dyDescent="0.4">
      <c r="C25" s="40" t="s">
        <v>1539</v>
      </c>
      <c r="D25" s="535">
        <f>IF(ISERROR(ROUND((D21+D22)/(D23+D24),2)),"",ROUND((D21+D22)/(D23+D24),2))</f>
        <v>2.59</v>
      </c>
      <c r="E25" s="794"/>
      <c r="F25" s="794"/>
    </row>
    <row r="26" spans="3:6" ht="30" customHeight="1" thickTop="1" x14ac:dyDescent="0.35">
      <c r="D26" s="8" t="str">
        <f>IF(ISERROR(#REF!+#REF!),"",#REF!+#REF!)</f>
        <v/>
      </c>
    </row>
    <row r="27" spans="3:6" ht="30" customHeight="1" x14ac:dyDescent="0.35"/>
    <row r="28" spans="3:6" ht="30" customHeight="1" x14ac:dyDescent="0.35"/>
    <row r="29" spans="3:6" ht="30" customHeight="1" x14ac:dyDescent="0.35"/>
    <row r="30" spans="3:6" ht="30" customHeight="1" x14ac:dyDescent="0.35"/>
    <row r="31" spans="3:6" ht="30" customHeight="1" x14ac:dyDescent="0.35"/>
    <row r="32" spans="3:6" ht="30" customHeight="1" x14ac:dyDescent="0.35"/>
    <row r="33" ht="30" customHeight="1" x14ac:dyDescent="0.35"/>
    <row r="34" ht="30" customHeight="1" x14ac:dyDescent="0.35"/>
    <row r="35" ht="30" customHeight="1" x14ac:dyDescent="0.35"/>
    <row r="36" ht="30" customHeight="1" x14ac:dyDescent="0.35"/>
    <row r="37" ht="30" customHeight="1" x14ac:dyDescent="0.35"/>
    <row r="38" ht="30" customHeight="1" x14ac:dyDescent="0.35"/>
    <row r="39" ht="30" customHeight="1" x14ac:dyDescent="0.35"/>
    <row r="40" ht="30" customHeight="1" x14ac:dyDescent="0.35"/>
    <row r="41" ht="30" customHeight="1" x14ac:dyDescent="0.35"/>
    <row r="42" ht="30" customHeight="1" x14ac:dyDescent="0.35"/>
    <row r="43" ht="30" customHeight="1" x14ac:dyDescent="0.35"/>
    <row r="44" ht="30" customHeight="1" x14ac:dyDescent="0.35"/>
    <row r="45" ht="30" customHeight="1" x14ac:dyDescent="0.35"/>
    <row r="46" ht="30" customHeight="1" x14ac:dyDescent="0.35"/>
    <row r="47" ht="30" customHeight="1" x14ac:dyDescent="0.35"/>
    <row r="48" ht="30" customHeight="1" x14ac:dyDescent="0.35"/>
    <row r="49" ht="30" customHeight="1" x14ac:dyDescent="0.35"/>
    <row r="50" ht="30" customHeight="1" x14ac:dyDescent="0.35"/>
    <row r="51" ht="30" customHeight="1" x14ac:dyDescent="0.35"/>
    <row r="52" ht="30" customHeight="1" x14ac:dyDescent="0.35"/>
    <row r="53" ht="30" customHeight="1" x14ac:dyDescent="0.35"/>
    <row r="54" ht="30" customHeight="1" x14ac:dyDescent="0.35"/>
    <row r="55" ht="30" customHeight="1" x14ac:dyDescent="0.35"/>
    <row r="56" ht="30" customHeight="1" x14ac:dyDescent="0.35"/>
    <row r="57" ht="30" customHeight="1" x14ac:dyDescent="0.35"/>
    <row r="58" ht="30" customHeight="1" x14ac:dyDescent="0.35"/>
    <row r="59" ht="30" customHeight="1" x14ac:dyDescent="0.35"/>
    <row r="60" ht="30" customHeight="1" x14ac:dyDescent="0.35"/>
    <row r="61" ht="30" customHeight="1" x14ac:dyDescent="0.35"/>
    <row r="62" ht="30" customHeight="1" x14ac:dyDescent="0.35"/>
    <row r="63" ht="30" customHeight="1" x14ac:dyDescent="0.35"/>
    <row r="64" ht="30" customHeight="1" x14ac:dyDescent="0.35"/>
    <row r="65" ht="30" customHeight="1" x14ac:dyDescent="0.35"/>
    <row r="66" ht="30" customHeight="1" x14ac:dyDescent="0.35"/>
    <row r="67" ht="30" customHeight="1" x14ac:dyDescent="0.35"/>
    <row r="68" ht="30" customHeight="1" x14ac:dyDescent="0.35"/>
    <row r="69" ht="30" customHeight="1" x14ac:dyDescent="0.35"/>
    <row r="70" ht="30" customHeight="1" x14ac:dyDescent="0.35"/>
    <row r="71" ht="30" customHeight="1" x14ac:dyDescent="0.35"/>
    <row r="72" ht="30" customHeight="1" x14ac:dyDescent="0.35"/>
    <row r="73" ht="30" customHeight="1" x14ac:dyDescent="0.35"/>
    <row r="74" ht="30" customHeight="1" x14ac:dyDescent="0.35"/>
    <row r="75" ht="30" customHeight="1" x14ac:dyDescent="0.35"/>
    <row r="76" ht="30" customHeight="1" x14ac:dyDescent="0.35"/>
    <row r="77" ht="30" customHeight="1" x14ac:dyDescent="0.35"/>
    <row r="78" ht="30" customHeight="1" x14ac:dyDescent="0.35"/>
    <row r="79" ht="30" customHeight="1" x14ac:dyDescent="0.35"/>
    <row r="80" ht="30" customHeight="1" x14ac:dyDescent="0.35"/>
    <row r="81" ht="30" customHeight="1" x14ac:dyDescent="0.35"/>
    <row r="82" ht="30" customHeight="1" x14ac:dyDescent="0.35"/>
    <row r="83" ht="30" customHeight="1" x14ac:dyDescent="0.35"/>
    <row r="84" ht="30" customHeight="1" x14ac:dyDescent="0.35"/>
    <row r="85" ht="30" customHeight="1" x14ac:dyDescent="0.35"/>
    <row r="86" ht="30" customHeight="1" x14ac:dyDescent="0.35"/>
    <row r="87" ht="30" customHeight="1" x14ac:dyDescent="0.35"/>
    <row r="88" ht="30" customHeight="1" x14ac:dyDescent="0.35"/>
    <row r="89" ht="30" customHeight="1" x14ac:dyDescent="0.35"/>
    <row r="90" ht="30" customHeight="1" x14ac:dyDescent="0.35"/>
    <row r="91" ht="30" customHeight="1" x14ac:dyDescent="0.35"/>
    <row r="92" ht="30" customHeight="1" x14ac:dyDescent="0.35"/>
    <row r="93" ht="30" customHeight="1" x14ac:dyDescent="0.35"/>
    <row r="94" ht="30" customHeight="1" x14ac:dyDescent="0.35"/>
    <row r="95" ht="30" customHeight="1" x14ac:dyDescent="0.35"/>
    <row r="96" ht="30" customHeight="1" x14ac:dyDescent="0.35"/>
    <row r="97" ht="30" customHeight="1" x14ac:dyDescent="0.35"/>
    <row r="98" ht="30" customHeight="1" x14ac:dyDescent="0.35"/>
    <row r="99" ht="30" customHeight="1" x14ac:dyDescent="0.35"/>
    <row r="100" ht="30" customHeight="1" x14ac:dyDescent="0.35"/>
    <row r="101" ht="30" customHeight="1" x14ac:dyDescent="0.35"/>
    <row r="102" ht="30" customHeight="1" x14ac:dyDescent="0.35"/>
    <row r="103" ht="30" customHeight="1" x14ac:dyDescent="0.35"/>
    <row r="108" x14ac:dyDescent="0.35"/>
    <row r="109" x14ac:dyDescent="0.35"/>
  </sheetData>
  <mergeCells count="12">
    <mergeCell ref="C14:D14"/>
    <mergeCell ref="C4:D4"/>
    <mergeCell ref="C9:D9"/>
    <mergeCell ref="C20:D20"/>
    <mergeCell ref="E15:F18"/>
    <mergeCell ref="E20:F20"/>
    <mergeCell ref="E21:F25"/>
    <mergeCell ref="E4:F4"/>
    <mergeCell ref="E5:F7"/>
    <mergeCell ref="E9:F9"/>
    <mergeCell ref="E10:F12"/>
    <mergeCell ref="E14:F14"/>
  </mergeCells>
  <conditionalFormatting sqref="D7">
    <cfRule type="cellIs" dxfId="30" priority="13" operator="lessThan">
      <formula>1</formula>
    </cfRule>
    <cfRule type="cellIs" dxfId="29" priority="14" operator="greaterThanOrEqual">
      <formula>1</formula>
    </cfRule>
  </conditionalFormatting>
  <conditionalFormatting sqref="D12">
    <cfRule type="cellIs" dxfId="28" priority="9" operator="lessThan">
      <formula>1</formula>
    </cfRule>
    <cfRule type="cellIs" dxfId="27" priority="10" operator="greaterThanOrEqual">
      <formula>1</formula>
    </cfRule>
  </conditionalFormatting>
  <conditionalFormatting sqref="D18">
    <cfRule type="cellIs" dxfId="26" priority="5" operator="lessThan">
      <formula>1</formula>
    </cfRule>
    <cfRule type="cellIs" dxfId="25" priority="6" operator="greaterThanOrEqual">
      <formula>1</formula>
    </cfRule>
  </conditionalFormatting>
  <conditionalFormatting sqref="D25">
    <cfRule type="cellIs" dxfId="24" priority="1" operator="lessThan">
      <formula>1</formula>
    </cfRule>
    <cfRule type="cellIs" dxfId="23" priority="2" operator="greaterThanOrEqual">
      <formula>1</formula>
    </cfRule>
  </conditionalFormatting>
  <conditionalFormatting sqref="E5">
    <cfRule type="containsText" dxfId="22" priority="15" operator="containsText" text="A empresa não possui recursos para honrar seus compromissos de curto prazo">
      <formula>NOT(ISERROR(SEARCH("A empresa não possui recursos para honrar seus compromissos de curto prazo",E5)))</formula>
    </cfRule>
    <cfRule type="containsText" dxfId="21" priority="16" operator="containsText" text="A empresa possui recursos para honrar seus compromissos de curto prazo.">
      <formula>NOT(ISERROR(SEARCH("A empresa possui recursos para honrar seus compromissos de curto prazo.",E5)))</formula>
    </cfRule>
  </conditionalFormatting>
  <conditionalFormatting sqref="E10">
    <cfRule type="containsText" dxfId="20" priority="11" operator="containsText" text="A empresa não possui recursos financeiros disponíveis para honrar seus compromisso de curto prazo, ficando dependente da operação e demais recursos.">
      <formula>NOT(ISERROR(SEARCH("A empresa não possui recursos financeiros disponíveis para honrar seus compromisso de curto prazo, ficando dependente da operação e demais recursos.",E10)))</formula>
    </cfRule>
    <cfRule type="containsText" dxfId="19" priority="12" operator="containsText" text="A empresa possui recursos financeiros disponíveis para honrar seus compromisso de curto prazo.">
      <formula>NOT(ISERROR(SEARCH("A empresa possui recursos financeiros disponíveis para honrar seus compromisso de curto prazo.",E10)))</formula>
    </cfRule>
  </conditionalFormatting>
  <conditionalFormatting sqref="E15">
    <cfRule type="containsText" dxfId="18" priority="7" operator="containsText" text="A empresa não possui recursos suficientes para arcar com os compromissos de curto prazo sem que dependa da venda de seus estoques.">
      <formula>NOT(ISERROR(SEARCH("A empresa não possui recursos suficientes para arcar com os compromissos de curto prazo sem que dependa da venda de seus estoques.",E15)))</formula>
    </cfRule>
    <cfRule type="containsText" dxfId="17" priority="8" operator="containsText" text="A empresa tem recursos suficientes para arcar com os compromisso de curto prazo sem depender da venda de seus estoques.">
      <formula>NOT(ISERROR(SEARCH("A empresa tem recursos suficientes para arcar com os compromisso de curto prazo sem depender da venda de seus estoques.",E15)))</formula>
    </cfRule>
  </conditionalFormatting>
  <conditionalFormatting sqref="E21">
    <cfRule type="containsText" dxfId="16" priority="3" operator="containsText" text="A empresa não possui recursos o suficiente para arcar com os seus compromissos.">
      <formula>NOT(ISERROR(SEARCH("A empresa não possui recursos o suficiente para arcar com os seus compromissos.",E21)))</formula>
    </cfRule>
    <cfRule type="containsText" dxfId="15" priority="4" operator="containsText" text="A empresa possui recursos suficientes para arcar com todos os seus compromissos.">
      <formula>NOT(ISERROR(SEARCH("A empresa possui recursos suficientes para arcar com todos os seus compromissos.",E21)))</formula>
    </cfRule>
  </conditionalFormatting>
  <pageMargins left="0.511811024" right="0.511811024" top="0.78740157499999996" bottom="0.78740157499999996" header="0.31496062000000002" footer="0.31496062000000002"/>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Planilha13"/>
  <dimension ref="B1:I105"/>
  <sheetViews>
    <sheetView showGridLines="0" zoomScaleNormal="100" workbookViewId="0">
      <pane ySplit="3" topLeftCell="A4" activePane="bottomLeft" state="frozen"/>
      <selection pane="bottomLeft" activeCell="H7" sqref="H7"/>
    </sheetView>
  </sheetViews>
  <sheetFormatPr defaultColWidth="8.90625" defaultRowHeight="0" customHeight="1" zeroHeight="1" x14ac:dyDescent="0.35"/>
  <cols>
    <col min="1" max="1" width="10.6328125" customWidth="1"/>
    <col min="2" max="2" width="2.7265625" customWidth="1"/>
    <col min="3" max="3" width="40.6328125" customWidth="1"/>
    <col min="4" max="4" width="23.54296875" bestFit="1" customWidth="1"/>
    <col min="5" max="5" width="0.81640625" style="3" customWidth="1"/>
    <col min="6" max="6" width="40.6328125" customWidth="1"/>
    <col min="7" max="8" width="15.6328125" customWidth="1"/>
    <col min="9" max="9" width="14.90625" bestFit="1" customWidth="1"/>
    <col min="10" max="10" width="11" bestFit="1" customWidth="1"/>
  </cols>
  <sheetData>
    <row r="1" spans="2:9" s="10" customFormat="1" ht="26.5" customHeight="1" x14ac:dyDescent="0.55000000000000004">
      <c r="B1" s="56"/>
      <c r="C1" s="57"/>
      <c r="E1" s="60"/>
    </row>
    <row r="2" spans="2:9" s="10" customFormat="1" ht="23.25" customHeight="1" x14ac:dyDescent="0.35">
      <c r="B2" s="537" t="s">
        <v>1406</v>
      </c>
      <c r="E2" s="60"/>
    </row>
    <row r="3" spans="2:9" ht="15" customHeight="1" thickBot="1" x14ac:dyDescent="0.4">
      <c r="E3" s="23"/>
    </row>
    <row r="4" spans="2:9" ht="30" customHeight="1" thickTop="1" thickBot="1" x14ac:dyDescent="0.4">
      <c r="C4" s="797" t="s">
        <v>1547</v>
      </c>
      <c r="D4" s="797"/>
      <c r="E4" s="20"/>
      <c r="F4" s="797" t="s">
        <v>1530</v>
      </c>
      <c r="G4" s="797"/>
    </row>
    <row r="5" spans="2:9" ht="30" customHeight="1" thickTop="1" thickBot="1" x14ac:dyDescent="0.4">
      <c r="C5" s="39" t="s">
        <v>1274</v>
      </c>
      <c r="D5" s="116">
        <f>IF(ISERROR('Activos Correntes'!$L$6),"",'Activos Correntes'!$L$6)</f>
        <v>1340212444.23</v>
      </c>
      <c r="E5" s="20"/>
      <c r="F5" s="798" t="str">
        <f>IF(ISERROR("O prazo médio para o recebimento das vendas ao longo do ano é de " &amp;ROUND($D$7,2) &amp; " dias"),"","O prazo médio para o recebimento das vendas ao longo do ano é de " &amp;ROUND($D$7,2) &amp; " dias")</f>
        <v>O prazo médio para o recebimento das vendas ao longo do ano é de 100,5 dias</v>
      </c>
      <c r="G5" s="798"/>
    </row>
    <row r="6" spans="2:9" ht="30" customHeight="1" thickTop="1" thickBot="1" x14ac:dyDescent="0.4">
      <c r="C6" s="39" t="s">
        <v>1548</v>
      </c>
      <c r="D6" s="116">
        <f>IF(ISERROR(SUM(DRE!E5:E12)),"",SUM(DRE!E5:E12))</f>
        <v>4867221097.0500002</v>
      </c>
      <c r="E6" s="20"/>
      <c r="F6" s="798"/>
      <c r="G6" s="798"/>
    </row>
    <row r="7" spans="2:9" ht="30" customHeight="1" thickTop="1" thickBot="1" x14ac:dyDescent="0.4">
      <c r="C7" s="38" t="s">
        <v>1416</v>
      </c>
      <c r="D7" s="62">
        <f>IF(ISERROR(ROUND((D5*365)/D6,2)),"",ROUND((D5*365)/D6,2))</f>
        <v>100.5</v>
      </c>
      <c r="E7" s="20"/>
      <c r="F7" s="798"/>
      <c r="G7" s="798"/>
    </row>
    <row r="8" spans="2:9" ht="30" customHeight="1" thickTop="1" thickBot="1" x14ac:dyDescent="0.4">
      <c r="E8" s="20"/>
      <c r="I8" s="20"/>
    </row>
    <row r="9" spans="2:9" ht="30" customHeight="1" thickTop="1" thickBot="1" x14ac:dyDescent="0.4">
      <c r="C9" s="797" t="s">
        <v>1549</v>
      </c>
      <c r="D9" s="797"/>
      <c r="E9" s="20"/>
      <c r="F9" s="797" t="s">
        <v>1530</v>
      </c>
      <c r="G9" s="797"/>
      <c r="I9" s="20"/>
    </row>
    <row r="10" spans="2:9" ht="30" customHeight="1" thickTop="1" thickBot="1" x14ac:dyDescent="0.4">
      <c r="C10" s="39" t="s">
        <v>154</v>
      </c>
      <c r="D10" s="116">
        <f>IF(ISERROR('Activos Correntes'!$L$5),"",'Activos Correntes'!$L$5)</f>
        <v>0</v>
      </c>
      <c r="E10" s="20"/>
      <c r="F10" s="798" t="str">
        <f>IF(ISERROR("O prazo médio de renovação do estoque ao longo do ano é de " &amp; ROUND($D$12,2) &amp; " dias"),"","O prazo médio de renovação do estoque ao longo do ano é de " &amp; ROUND($D$12,2) &amp; " dias")</f>
        <v>O prazo médio de renovação do estoque ao longo do ano é de 0 dias</v>
      </c>
      <c r="G10" s="798"/>
      <c r="I10" s="20"/>
    </row>
    <row r="11" spans="2:9" ht="30" customHeight="1" thickTop="1" thickBot="1" x14ac:dyDescent="0.4">
      <c r="C11" s="39" t="s">
        <v>1550</v>
      </c>
      <c r="D11" s="116">
        <f>IF(ISERROR('Custos por Natureza'!$L$5),"",'Custos por Natureza'!$L$5)</f>
        <v>179684780.97</v>
      </c>
      <c r="E11" s="20"/>
      <c r="F11" s="798"/>
      <c r="G11" s="798"/>
      <c r="I11" s="20"/>
    </row>
    <row r="12" spans="2:9" ht="30" customHeight="1" thickTop="1" thickBot="1" x14ac:dyDescent="0.4">
      <c r="C12" s="38" t="s">
        <v>1416</v>
      </c>
      <c r="D12" s="62">
        <f>IF(ISERROR(ROUND((D10*365)/D11,2)),"",ROUND((D10*365)/D11,2))</f>
        <v>0</v>
      </c>
      <c r="E12" s="20"/>
      <c r="F12" s="798"/>
      <c r="G12" s="798"/>
      <c r="I12" s="20"/>
    </row>
    <row r="13" spans="2:9" ht="30" customHeight="1" thickTop="1" thickBot="1" x14ac:dyDescent="0.4">
      <c r="E13" s="20"/>
      <c r="I13" s="2"/>
    </row>
    <row r="14" spans="2:9" ht="30" customHeight="1" thickTop="1" thickBot="1" x14ac:dyDescent="0.4">
      <c r="C14" s="797" t="s">
        <v>1551</v>
      </c>
      <c r="D14" s="797"/>
      <c r="E14" s="20"/>
      <c r="F14" s="797" t="s">
        <v>1530</v>
      </c>
      <c r="G14" s="797"/>
    </row>
    <row r="15" spans="2:9" ht="30" customHeight="1" thickTop="1" thickBot="1" x14ac:dyDescent="0.4">
      <c r="C15" s="39" t="s">
        <v>903</v>
      </c>
      <c r="D15" s="116">
        <f>IF(ISERROR('Passivo Corrente'!$L$5),"",'Passivo Corrente'!$L$5)</f>
        <v>1006980995.0899999</v>
      </c>
      <c r="E15" s="20"/>
      <c r="F15" s="798" t="str">
        <f>IF(ISERROR("O prazo médio de pagamento dos fornecedores ao longo do ano é de " &amp; ROUND($D$17,2) &amp; " dias"),"","O prazo médio de pagamento dos fornecedores ao longo do ano é de " &amp; ROUND($D$17,2) &amp; " dias")</f>
        <v>O prazo médio de pagamento dos fornecedores ao longo do ano é de 2045,52 dias</v>
      </c>
      <c r="G15" s="798"/>
    </row>
    <row r="16" spans="2:9" ht="30" customHeight="1" thickTop="1" thickBot="1" x14ac:dyDescent="0.4">
      <c r="C16" s="39" t="s">
        <v>1552</v>
      </c>
      <c r="D16" s="116">
        <f>IF(ISERROR(DRE!$L$5),"",DRE!$L$5)</f>
        <v>179684780.97</v>
      </c>
      <c r="E16" s="20"/>
      <c r="F16" s="798"/>
      <c r="G16" s="798"/>
    </row>
    <row r="17" spans="3:7" ht="30" customHeight="1" thickTop="1" thickBot="1" x14ac:dyDescent="0.4">
      <c r="C17" s="38" t="s">
        <v>1416</v>
      </c>
      <c r="D17" s="62">
        <f>IF(ISERROR(ROUND((D15*365)/D16,2)),"",ROUND((D15*365)/D16,2))</f>
        <v>2045.52</v>
      </c>
      <c r="E17" s="20"/>
      <c r="F17" s="798"/>
      <c r="G17" s="798"/>
    </row>
    <row r="18" spans="3:7" ht="30" customHeight="1" thickTop="1" thickBot="1" x14ac:dyDescent="0.4">
      <c r="E18" s="23"/>
    </row>
    <row r="19" spans="3:7" ht="30" customHeight="1" thickTop="1" thickBot="1" x14ac:dyDescent="0.4">
      <c r="C19" s="797" t="s">
        <v>1553</v>
      </c>
      <c r="D19" s="797"/>
      <c r="E19" s="20"/>
      <c r="F19" s="797" t="s">
        <v>1530</v>
      </c>
      <c r="G19" s="797"/>
    </row>
    <row r="20" spans="3:7" ht="30" customHeight="1" thickTop="1" thickBot="1" x14ac:dyDescent="0.4">
      <c r="C20" s="39" t="s">
        <v>1547</v>
      </c>
      <c r="D20" s="24">
        <f>IF(ISERROR($D$7),"",$D$7)</f>
        <v>100.5</v>
      </c>
      <c r="E20" s="25"/>
      <c r="F20" s="798" t="str">
        <f>IF(ISERROR("A empresa demora " &amp; ROUND($D$23,2) &amp; " dias para que os recursos aplicados na operação retornem ao caixa. Quanto maior o ciclo, maior a necessidade de capital para manter as atividades."),"","A empresa demora " &amp; ROUND($D$23,2) &amp; " dias para que os recursos aplicados na operação retornem ao caixa. Quanto maior o ciclo, maior a necessidade de capital para manter as atividades.")</f>
        <v>A empresa demora -1945,02 dias para que os recursos aplicados na operação retornem ao caixa. Quanto maior o ciclo, maior a necessidade de capital para manter as atividades.</v>
      </c>
      <c r="G20" s="798"/>
    </row>
    <row r="21" spans="3:7" ht="30" customHeight="1" thickTop="1" thickBot="1" x14ac:dyDescent="0.4">
      <c r="C21" s="39" t="s">
        <v>1554</v>
      </c>
      <c r="D21" s="24">
        <f>IF(ISERROR($D$12),"",$D$12)</f>
        <v>0</v>
      </c>
      <c r="E21" s="25"/>
      <c r="F21" s="798"/>
      <c r="G21" s="798"/>
    </row>
    <row r="22" spans="3:7" ht="30" customHeight="1" thickTop="1" thickBot="1" x14ac:dyDescent="0.4">
      <c r="C22" s="39" t="s">
        <v>1555</v>
      </c>
      <c r="D22" s="24">
        <f>IF(ISERROR($D$17),"",$D$17)</f>
        <v>2045.52</v>
      </c>
      <c r="E22" s="25"/>
      <c r="F22" s="798"/>
      <c r="G22" s="798"/>
    </row>
    <row r="23" spans="3:7" ht="30" customHeight="1" thickTop="1" thickBot="1" x14ac:dyDescent="0.4">
      <c r="C23" s="38" t="s">
        <v>1416</v>
      </c>
      <c r="D23" s="62">
        <f>IF(ISERROR(D20+D21-D22),"",D20+D21-D22)</f>
        <v>-1945.02</v>
      </c>
      <c r="E23" s="20"/>
      <c r="F23" s="798"/>
      <c r="G23" s="798"/>
    </row>
    <row r="24" spans="3:7" ht="30" customHeight="1" thickTop="1" thickBot="1" x14ac:dyDescent="0.4">
      <c r="E24" s="23"/>
    </row>
    <row r="25" spans="3:7" ht="30" customHeight="1" thickTop="1" thickBot="1" x14ac:dyDescent="0.4">
      <c r="C25" s="797" t="s">
        <v>1556</v>
      </c>
      <c r="D25" s="797"/>
      <c r="E25" s="20"/>
      <c r="F25" s="797" t="s">
        <v>1530</v>
      </c>
      <c r="G25" s="797"/>
    </row>
    <row r="26" spans="3:7" ht="30" customHeight="1" thickTop="1" thickBot="1" x14ac:dyDescent="0.4">
      <c r="C26" s="39" t="s">
        <v>1547</v>
      </c>
      <c r="D26" s="24">
        <f>IF(ISERROR($D$7),"",$D$7)</f>
        <v>100.5</v>
      </c>
      <c r="E26" s="25"/>
      <c r="F26" s="798" t="str">
        <f>IF(ISERROR("A empresa demora " &amp; ROUND($D$28,2) &amp; " para receber o valor da venda, contando desde o dia da compra da mercadoria."),"","A empresa demora " &amp; ROUND($D$28,2) &amp; " para receber o valor da venda, contando desde o dia da compra da mercadoria.")</f>
        <v>A empresa demora 100,5 para receber o valor da venda, contando desde o dia da compra da mercadoria.</v>
      </c>
      <c r="G26" s="798"/>
    </row>
    <row r="27" spans="3:7" ht="30" customHeight="1" thickTop="1" thickBot="1" x14ac:dyDescent="0.4">
      <c r="C27" s="39" t="s">
        <v>1554</v>
      </c>
      <c r="D27" s="24">
        <f>IF(ISERROR($D$12),"",$D$12)</f>
        <v>0</v>
      </c>
      <c r="E27" s="25"/>
      <c r="F27" s="798"/>
      <c r="G27" s="798"/>
    </row>
    <row r="28" spans="3:7" ht="30" customHeight="1" thickTop="1" thickBot="1" x14ac:dyDescent="0.4">
      <c r="C28" s="38" t="s">
        <v>1416</v>
      </c>
      <c r="D28" s="62">
        <f>IF(ISERROR(D26+D27),"",D26+D27)</f>
        <v>100.5</v>
      </c>
      <c r="E28" s="20"/>
      <c r="F28" s="798"/>
      <c r="G28" s="798"/>
    </row>
    <row r="29" spans="3:7" ht="30" customHeight="1" thickTop="1" x14ac:dyDescent="0.35">
      <c r="E29" s="23"/>
    </row>
    <row r="30" spans="3:7" ht="30" customHeight="1" x14ac:dyDescent="0.35">
      <c r="E30" s="23"/>
    </row>
    <row r="31" spans="3:7" ht="30" customHeight="1" x14ac:dyDescent="0.35">
      <c r="E31" s="23"/>
    </row>
    <row r="32" spans="3:7" ht="30" customHeight="1" x14ac:dyDescent="0.35">
      <c r="E32" s="23"/>
    </row>
    <row r="33" spans="5:5" ht="30" customHeight="1" x14ac:dyDescent="0.35">
      <c r="E33" s="23"/>
    </row>
    <row r="34" spans="5:5" ht="30" customHeight="1" x14ac:dyDescent="0.35">
      <c r="E34" s="23"/>
    </row>
    <row r="35" spans="5:5" ht="30" customHeight="1" x14ac:dyDescent="0.35">
      <c r="E35" s="23"/>
    </row>
    <row r="36" spans="5:5" ht="30" customHeight="1" x14ac:dyDescent="0.35">
      <c r="E36" s="23"/>
    </row>
    <row r="37" spans="5:5" ht="30" customHeight="1" x14ac:dyDescent="0.35">
      <c r="E37" s="23"/>
    </row>
    <row r="38" spans="5:5" ht="30" customHeight="1" x14ac:dyDescent="0.35">
      <c r="E38" s="23"/>
    </row>
    <row r="39" spans="5:5" ht="30" customHeight="1" x14ac:dyDescent="0.35">
      <c r="E39" s="23"/>
    </row>
    <row r="40" spans="5:5" ht="30" customHeight="1" x14ac:dyDescent="0.35">
      <c r="E40" s="23"/>
    </row>
    <row r="41" spans="5:5" ht="30" customHeight="1" x14ac:dyDescent="0.35">
      <c r="E41" s="23"/>
    </row>
    <row r="42" spans="5:5" ht="30" customHeight="1" x14ac:dyDescent="0.35">
      <c r="E42" s="23"/>
    </row>
    <row r="43" spans="5:5" ht="30" customHeight="1" x14ac:dyDescent="0.35">
      <c r="E43" s="23"/>
    </row>
    <row r="44" spans="5:5" ht="30" customHeight="1" x14ac:dyDescent="0.35">
      <c r="E44" s="23"/>
    </row>
    <row r="45" spans="5:5" ht="30" customHeight="1" x14ac:dyDescent="0.35">
      <c r="E45" s="23"/>
    </row>
    <row r="46" spans="5:5" ht="30" customHeight="1" x14ac:dyDescent="0.35">
      <c r="E46" s="23"/>
    </row>
    <row r="47" spans="5:5" ht="30" customHeight="1" x14ac:dyDescent="0.35">
      <c r="E47" s="23"/>
    </row>
    <row r="48" spans="5:5" ht="30" customHeight="1" x14ac:dyDescent="0.35">
      <c r="E48" s="23"/>
    </row>
    <row r="49" spans="5:5" ht="30" customHeight="1" x14ac:dyDescent="0.35">
      <c r="E49" s="23"/>
    </row>
    <row r="50" spans="5:5" ht="30" customHeight="1" x14ac:dyDescent="0.35">
      <c r="E50" s="23"/>
    </row>
    <row r="51" spans="5:5" ht="30" customHeight="1" x14ac:dyDescent="0.35">
      <c r="E51" s="23"/>
    </row>
    <row r="52" spans="5:5" ht="30" customHeight="1" x14ac:dyDescent="0.35">
      <c r="E52" s="23"/>
    </row>
    <row r="53" spans="5:5" ht="30" customHeight="1" x14ac:dyDescent="0.35">
      <c r="E53" s="23"/>
    </row>
    <row r="54" spans="5:5" ht="30" customHeight="1" x14ac:dyDescent="0.35">
      <c r="E54" s="23"/>
    </row>
    <row r="55" spans="5:5" ht="30" customHeight="1" x14ac:dyDescent="0.35">
      <c r="E55" s="23"/>
    </row>
    <row r="56" spans="5:5" ht="30" customHeight="1" x14ac:dyDescent="0.35">
      <c r="E56" s="23"/>
    </row>
    <row r="57" spans="5:5" ht="30" customHeight="1" x14ac:dyDescent="0.35">
      <c r="E57" s="23"/>
    </row>
    <row r="58" spans="5:5" ht="30" customHeight="1" x14ac:dyDescent="0.35">
      <c r="E58" s="23"/>
    </row>
    <row r="59" spans="5:5" ht="30" customHeight="1" x14ac:dyDescent="0.35">
      <c r="E59" s="23"/>
    </row>
    <row r="60" spans="5:5" ht="30" customHeight="1" x14ac:dyDescent="0.35">
      <c r="E60" s="23"/>
    </row>
    <row r="61" spans="5:5" ht="30" customHeight="1" x14ac:dyDescent="0.35">
      <c r="E61" s="23"/>
    </row>
    <row r="62" spans="5:5" ht="30" customHeight="1" x14ac:dyDescent="0.35">
      <c r="E62" s="23"/>
    </row>
    <row r="63" spans="5:5" ht="30" customHeight="1" x14ac:dyDescent="0.35">
      <c r="E63" s="23"/>
    </row>
    <row r="64" spans="5:5" ht="30" customHeight="1" x14ac:dyDescent="0.35">
      <c r="E64" s="23"/>
    </row>
    <row r="65" spans="5:5" ht="30" customHeight="1" x14ac:dyDescent="0.35">
      <c r="E65" s="23"/>
    </row>
    <row r="66" spans="5:5" ht="30" customHeight="1" x14ac:dyDescent="0.35">
      <c r="E66" s="23"/>
    </row>
    <row r="67" spans="5:5" ht="30" customHeight="1" x14ac:dyDescent="0.35">
      <c r="E67" s="23"/>
    </row>
    <row r="68" spans="5:5" ht="30" customHeight="1" x14ac:dyDescent="0.35">
      <c r="E68" s="23"/>
    </row>
    <row r="69" spans="5:5" ht="30" customHeight="1" x14ac:dyDescent="0.35">
      <c r="E69" s="23"/>
    </row>
    <row r="70" spans="5:5" ht="30" customHeight="1" x14ac:dyDescent="0.35">
      <c r="E70" s="23"/>
    </row>
    <row r="71" spans="5:5" ht="30" customHeight="1" x14ac:dyDescent="0.35">
      <c r="E71" s="23"/>
    </row>
    <row r="72" spans="5:5" ht="30" customHeight="1" x14ac:dyDescent="0.35">
      <c r="E72" s="23"/>
    </row>
    <row r="73" spans="5:5" ht="30" customHeight="1" x14ac:dyDescent="0.35">
      <c r="E73" s="23"/>
    </row>
    <row r="74" spans="5:5" ht="30" customHeight="1" x14ac:dyDescent="0.35">
      <c r="E74" s="23"/>
    </row>
    <row r="75" spans="5:5" ht="30" customHeight="1" x14ac:dyDescent="0.35">
      <c r="E75" s="23"/>
    </row>
    <row r="76" spans="5:5" ht="30" customHeight="1" x14ac:dyDescent="0.35">
      <c r="E76" s="23"/>
    </row>
    <row r="77" spans="5:5" ht="30" customHeight="1" x14ac:dyDescent="0.35">
      <c r="E77" s="23"/>
    </row>
    <row r="78" spans="5:5" ht="30" customHeight="1" x14ac:dyDescent="0.35">
      <c r="E78" s="23"/>
    </row>
    <row r="79" spans="5:5" ht="30" customHeight="1" x14ac:dyDescent="0.35">
      <c r="E79" s="23"/>
    </row>
    <row r="80" spans="5:5" ht="30" customHeight="1" x14ac:dyDescent="0.35">
      <c r="E80" s="23"/>
    </row>
    <row r="81" spans="5:5" ht="30" customHeight="1" x14ac:dyDescent="0.35">
      <c r="E81" s="23"/>
    </row>
    <row r="82" spans="5:5" ht="30" customHeight="1" x14ac:dyDescent="0.35">
      <c r="E82" s="23"/>
    </row>
    <row r="83" spans="5:5" ht="30" customHeight="1" x14ac:dyDescent="0.35">
      <c r="E83" s="23"/>
    </row>
    <row r="84" spans="5:5" ht="30" customHeight="1" x14ac:dyDescent="0.35">
      <c r="E84" s="23"/>
    </row>
    <row r="85" spans="5:5" ht="30" customHeight="1" x14ac:dyDescent="0.35">
      <c r="E85" s="23"/>
    </row>
    <row r="86" spans="5:5" ht="30" customHeight="1" x14ac:dyDescent="0.35">
      <c r="E86" s="23"/>
    </row>
    <row r="87" spans="5:5" ht="30" customHeight="1" x14ac:dyDescent="0.35">
      <c r="E87" s="23"/>
    </row>
    <row r="88" spans="5:5" ht="30" customHeight="1" x14ac:dyDescent="0.35">
      <c r="E88" s="23"/>
    </row>
    <row r="89" spans="5:5" ht="30" customHeight="1" x14ac:dyDescent="0.35">
      <c r="E89" s="23"/>
    </row>
    <row r="90" spans="5:5" ht="30" customHeight="1" x14ac:dyDescent="0.35">
      <c r="E90" s="23"/>
    </row>
    <row r="91" spans="5:5" ht="30" customHeight="1" x14ac:dyDescent="0.35">
      <c r="E91" s="23"/>
    </row>
    <row r="92" spans="5:5" ht="30" customHeight="1" x14ac:dyDescent="0.35">
      <c r="E92" s="23"/>
    </row>
    <row r="93" spans="5:5" ht="30" customHeight="1" x14ac:dyDescent="0.35">
      <c r="E93" s="23"/>
    </row>
    <row r="94" spans="5:5" ht="30" customHeight="1" x14ac:dyDescent="0.35">
      <c r="E94" s="23"/>
    </row>
    <row r="95" spans="5:5" ht="30" customHeight="1" x14ac:dyDescent="0.35">
      <c r="E95" s="23"/>
    </row>
    <row r="96" spans="5:5" ht="30" customHeight="1" x14ac:dyDescent="0.35">
      <c r="E96" s="23"/>
    </row>
    <row r="97" spans="2:9" ht="30" customHeight="1" x14ac:dyDescent="0.35">
      <c r="E97" s="23"/>
    </row>
    <row r="98" spans="2:9" ht="30" customHeight="1" x14ac:dyDescent="0.35">
      <c r="E98" s="23"/>
    </row>
    <row r="99" spans="2:9" ht="30" customHeight="1" x14ac:dyDescent="0.35">
      <c r="E99" s="23"/>
    </row>
    <row r="100" spans="2:9" ht="30" customHeight="1" x14ac:dyDescent="0.35">
      <c r="E100" s="23"/>
    </row>
    <row r="101" spans="2:9" ht="30" customHeight="1" x14ac:dyDescent="0.35">
      <c r="E101" s="23"/>
    </row>
    <row r="102" spans="2:9" ht="30" customHeight="1" x14ac:dyDescent="0.35">
      <c r="E102" s="23"/>
    </row>
    <row r="103" spans="2:9" s="1" customFormat="1" ht="14.5" hidden="1" x14ac:dyDescent="0.35">
      <c r="B103"/>
      <c r="C103"/>
      <c r="D103"/>
      <c r="E103" s="3"/>
      <c r="F103"/>
      <c r="G103"/>
      <c r="H103"/>
      <c r="I103"/>
    </row>
    <row r="104" spans="2:9" s="1" customFormat="1" ht="14.5" hidden="1" x14ac:dyDescent="0.35">
      <c r="B104"/>
      <c r="C104"/>
      <c r="D104"/>
      <c r="E104" s="3"/>
      <c r="F104"/>
      <c r="G104"/>
      <c r="H104"/>
      <c r="I104"/>
    </row>
    <row r="105" spans="2:9" ht="15" hidden="1" customHeight="1" x14ac:dyDescent="0.35"/>
  </sheetData>
  <mergeCells count="15">
    <mergeCell ref="C25:D25"/>
    <mergeCell ref="F25:G25"/>
    <mergeCell ref="F26:G28"/>
    <mergeCell ref="C14:D14"/>
    <mergeCell ref="C19:D19"/>
    <mergeCell ref="C4:D4"/>
    <mergeCell ref="C9:D9"/>
    <mergeCell ref="F15:G17"/>
    <mergeCell ref="F19:G19"/>
    <mergeCell ref="F20:G23"/>
    <mergeCell ref="F4:G4"/>
    <mergeCell ref="F5:G7"/>
    <mergeCell ref="F9:G9"/>
    <mergeCell ref="F10:G12"/>
    <mergeCell ref="F14:G14"/>
  </mergeCells>
  <pageMargins left="0.511811024" right="0.511811024" top="0.78740157499999996" bottom="0.78740157499999996" header="0.31496062000000002" footer="0.31496062000000002"/>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Planilha14"/>
  <dimension ref="B1:I112"/>
  <sheetViews>
    <sheetView showGridLines="0" zoomScaleNormal="100" workbookViewId="0">
      <pane ySplit="3" topLeftCell="A4" activePane="bottomLeft" state="frozen"/>
      <selection pane="bottomLeft" activeCell="I18" sqref="I18"/>
    </sheetView>
  </sheetViews>
  <sheetFormatPr defaultColWidth="8.90625" defaultRowHeight="0" customHeight="1" zeroHeight="1" x14ac:dyDescent="0.35"/>
  <cols>
    <col min="1" max="1" width="2.54296875" customWidth="1"/>
    <col min="2" max="2" width="2.7265625" customWidth="1"/>
    <col min="3" max="3" width="40.6328125" customWidth="1"/>
    <col min="4" max="4" width="23.90625" bestFit="1" customWidth="1"/>
    <col min="5" max="5" width="0.81640625" style="3" customWidth="1"/>
    <col min="6" max="6" width="40.6328125" customWidth="1"/>
    <col min="7" max="8" width="15.6328125" customWidth="1"/>
    <col min="9" max="9" width="14.90625" bestFit="1" customWidth="1"/>
    <col min="10" max="10" width="11" bestFit="1" customWidth="1"/>
  </cols>
  <sheetData>
    <row r="1" spans="2:9" s="10" customFormat="1" ht="26.5" customHeight="1" x14ac:dyDescent="0.55000000000000004">
      <c r="B1" s="56"/>
      <c r="C1" s="57"/>
      <c r="E1" s="60"/>
    </row>
    <row r="2" spans="2:9" s="10" customFormat="1" ht="23.25" customHeight="1" x14ac:dyDescent="0.35">
      <c r="B2" s="537" t="s">
        <v>1406</v>
      </c>
      <c r="E2" s="60"/>
    </row>
    <row r="3" spans="2:9" ht="15" customHeight="1" thickBot="1" x14ac:dyDescent="0.4">
      <c r="E3" s="23"/>
    </row>
    <row r="4" spans="2:9" ht="30" customHeight="1" thickTop="1" thickBot="1" x14ac:dyDescent="0.4">
      <c r="C4" s="683" t="s">
        <v>1557</v>
      </c>
      <c r="D4" s="684"/>
      <c r="E4" s="21"/>
      <c r="F4" s="797" t="s">
        <v>1530</v>
      </c>
      <c r="G4" s="797"/>
    </row>
    <row r="5" spans="2:9" ht="30" customHeight="1" thickTop="1" thickBot="1" x14ac:dyDescent="0.4">
      <c r="C5" s="39" t="s">
        <v>1558</v>
      </c>
      <c r="D5" s="116">
        <f>IF(ISERROR(DRE!$E$19),"",DRE!$E$19)</f>
        <v>-1674200192.9499989</v>
      </c>
      <c r="E5" s="21"/>
      <c r="F5" s="800" t="str">
        <f>IF(ISERROR("A empresa gera um retorno de" &amp; $D$7 &amp; " sobre o capital próprio investido"),"","A empresa gera um retorno de" &amp; $D$7 &amp; " sobre o capital próprio investido")</f>
        <v>A empresa gera um retorno de-52,62% sobre o capital próprio investido</v>
      </c>
      <c r="G5" s="800"/>
    </row>
    <row r="6" spans="2:9" ht="30" customHeight="1" thickTop="1" thickBot="1" x14ac:dyDescent="0.4">
      <c r="C6" s="39" t="s">
        <v>1292</v>
      </c>
      <c r="D6" s="116">
        <f>IF(ISERROR('Capital Próprio'!$E$4),"",'Capital Próprio'!$E$4)</f>
        <v>3181566010.0900011</v>
      </c>
      <c r="E6" s="21"/>
      <c r="F6" s="800"/>
      <c r="G6" s="800"/>
    </row>
    <row r="7" spans="2:9" ht="30" customHeight="1" thickTop="1" thickBot="1" x14ac:dyDescent="0.4">
      <c r="C7" s="38" t="s">
        <v>1416</v>
      </c>
      <c r="D7" s="63" t="str">
        <f>IF(ISERROR(ROUND((D5*100)/D6,2)&amp;"%"),"",ROUND((D5*100)/D6,2)&amp;"%")</f>
        <v>-52,62%</v>
      </c>
      <c r="E7" s="8"/>
      <c r="F7" s="800"/>
      <c r="G7" s="800"/>
    </row>
    <row r="8" spans="2:9" ht="30" customHeight="1" thickTop="1" thickBot="1" x14ac:dyDescent="0.4">
      <c r="E8"/>
      <c r="I8" s="20"/>
    </row>
    <row r="9" spans="2:9" ht="30" customHeight="1" thickTop="1" thickBot="1" x14ac:dyDescent="0.4">
      <c r="C9" s="683" t="s">
        <v>1559</v>
      </c>
      <c r="D9" s="684"/>
      <c r="E9" s="20"/>
      <c r="F9" s="797" t="s">
        <v>1560</v>
      </c>
      <c r="G9" s="797"/>
      <c r="I9" s="20"/>
    </row>
    <row r="10" spans="2:9" ht="30" customHeight="1" thickTop="1" thickBot="1" x14ac:dyDescent="0.4">
      <c r="C10" s="39" t="s">
        <v>1561</v>
      </c>
      <c r="D10" s="116">
        <f>IF(ISERROR(DRE!$E$19),"",DRE!$E$19)</f>
        <v>-1674200192.9499989</v>
      </c>
      <c r="E10" s="20"/>
      <c r="F10" s="800" t="str">
        <f>IF(ISERROR("A empresa tem uma rentabilidade de" &amp; ($D$12) &amp; " sobre o seu activo total"),"","A empresa tem uma rentabilidade de" &amp; ($D$12) &amp; " sobre o seu activo total")</f>
        <v>A empresa tem uma rentabilidade de-33,42% sobre o seu activo total</v>
      </c>
      <c r="G10" s="800"/>
      <c r="I10" s="20"/>
    </row>
    <row r="11" spans="2:9" ht="30" customHeight="1" thickTop="1" thickBot="1" x14ac:dyDescent="0.4">
      <c r="C11" s="39" t="s">
        <v>1562</v>
      </c>
      <c r="D11" s="116">
        <f>IF(ISERROR('Activos Correntes'!$L$22+'Activos Não Correntes'!$L$24),"",'Activos Correntes'!$L$22+'Activos Não Correntes'!$L$24)</f>
        <v>5010043583.5299997</v>
      </c>
      <c r="E11" s="20"/>
      <c r="F11" s="800"/>
      <c r="G11" s="800"/>
      <c r="I11" s="20"/>
    </row>
    <row r="12" spans="2:9" ht="30" customHeight="1" thickTop="1" thickBot="1" x14ac:dyDescent="0.4">
      <c r="C12" s="38" t="s">
        <v>1416</v>
      </c>
      <c r="D12" s="62" t="str">
        <f>IF(ISERROR((ROUND((D10*100)/D11,2))&amp;"%"),"",((ROUND((D10*100)/D11,2)&amp;"%")))</f>
        <v>-33,42%</v>
      </c>
      <c r="E12" s="20"/>
      <c r="F12" s="800"/>
      <c r="G12" s="800"/>
      <c r="I12" s="20"/>
    </row>
    <row r="13" spans="2:9" ht="30" customHeight="1" thickTop="1" thickBot="1" x14ac:dyDescent="0.4">
      <c r="E13" s="2"/>
      <c r="I13" s="2"/>
    </row>
    <row r="14" spans="2:9" ht="30" customHeight="1" thickTop="1" thickBot="1" x14ac:dyDescent="0.4">
      <c r="C14" s="683" t="s">
        <v>1781</v>
      </c>
      <c r="D14" s="684"/>
      <c r="E14" s="21"/>
      <c r="F14" s="797" t="s">
        <v>1530</v>
      </c>
      <c r="G14" s="797"/>
    </row>
    <row r="15" spans="2:9" ht="30" customHeight="1" thickTop="1" thickBot="1" x14ac:dyDescent="0.4">
      <c r="C15" s="39" t="s">
        <v>1563</v>
      </c>
      <c r="D15" s="116">
        <f>IF(ISERROR('Proveitos por Natureza'!E4),"",'Proveitos por Natureza'!E4)</f>
        <v>4867221097.0500002</v>
      </c>
      <c r="E15" s="21"/>
      <c r="F15" s="800" t="str">
        <f>IF(ISERROR("A cada Kz 1,00 de Activo da empresa foi produzido de receita Kz "&amp;ROUND($D$17,2)),"","A cada Kz 1,00 de Activo da empresa foi produzido de receita Kz "&amp;ROUND($D$17,2))</f>
        <v>A cada Kz 1,00 de Activo da empresa foi produzido de receita Kz 0,97</v>
      </c>
      <c r="G15" s="800"/>
    </row>
    <row r="16" spans="2:9" ht="30" customHeight="1" thickTop="1" thickBot="1" x14ac:dyDescent="0.4">
      <c r="C16" s="39" t="s">
        <v>1562</v>
      </c>
      <c r="D16" s="116">
        <f>IF(ISERROR('Activos Correntes'!$L$22+'Activos Não Correntes'!$L$24),"",'Activos Correntes'!$L$22+'Activos Não Correntes'!$L$24)</f>
        <v>5010043583.5299997</v>
      </c>
      <c r="E16" s="21"/>
      <c r="F16" s="800"/>
      <c r="G16" s="800"/>
    </row>
    <row r="17" spans="3:9" ht="30" customHeight="1" thickTop="1" thickBot="1" x14ac:dyDescent="0.4">
      <c r="C17" s="38" t="s">
        <v>1416</v>
      </c>
      <c r="D17" s="536">
        <f>IF(ISERROR(D15/D16),"",D15/D16)</f>
        <v>0.97149276566185694</v>
      </c>
      <c r="E17" s="2"/>
      <c r="F17" s="800"/>
      <c r="G17" s="800"/>
    </row>
    <row r="18" spans="3:9" ht="30" customHeight="1" thickTop="1" thickBot="1" x14ac:dyDescent="0.4">
      <c r="E18"/>
      <c r="I18" s="20"/>
    </row>
    <row r="19" spans="3:9" ht="30" customHeight="1" thickTop="1" thickBot="1" x14ac:dyDescent="0.4">
      <c r="C19" s="683" t="s">
        <v>1564</v>
      </c>
      <c r="D19" s="684"/>
      <c r="E19" s="20"/>
      <c r="F19" s="797" t="s">
        <v>1530</v>
      </c>
      <c r="G19" s="797"/>
      <c r="I19" s="20"/>
    </row>
    <row r="20" spans="3:9" ht="30" customHeight="1" thickTop="1" thickBot="1" x14ac:dyDescent="0.4">
      <c r="C20" s="39" t="s">
        <v>1561</v>
      </c>
      <c r="D20" s="116">
        <f>IF(ISERROR(DRE!$E$19),"",DRE!$E$19)</f>
        <v>-1674200192.9499989</v>
      </c>
      <c r="E20" s="20"/>
      <c r="F20" s="799" t="str">
        <f>IF(ISERROR("A empresa consegue gerar " &amp; ($D$22) &amp; " da receita líquida em lucro líquido"),"", "A empresa consegue gerar " &amp; ($D$22) &amp; " da receita líquida em lucro líquido")</f>
        <v>A empresa consegue gerar -34,4% da receita líquida em lucro líquido</v>
      </c>
      <c r="G20" s="799"/>
      <c r="I20" s="20"/>
    </row>
    <row r="21" spans="3:9" ht="30" customHeight="1" thickTop="1" thickBot="1" x14ac:dyDescent="0.4">
      <c r="C21" s="39" t="s">
        <v>1565</v>
      </c>
      <c r="D21" s="116">
        <f>IF(ISERROR('Proveitos por Natureza'!$L$16),"",'Proveitos por Natureza'!$L$16)</f>
        <v>4867221097.0500002</v>
      </c>
      <c r="E21" s="20"/>
      <c r="F21" s="799"/>
      <c r="G21" s="799"/>
      <c r="I21" s="20"/>
    </row>
    <row r="22" spans="3:9" ht="30" customHeight="1" thickTop="1" thickBot="1" x14ac:dyDescent="0.4">
      <c r="C22" s="38" t="s">
        <v>1416</v>
      </c>
      <c r="D22" s="63" t="str">
        <f>IF(ISERROR(ROUND((D20*100)/D21,2)&amp;"%"),"",ROUND((D20*100)/D21,2)&amp;"%")</f>
        <v>-34,4%</v>
      </c>
      <c r="E22" s="20"/>
      <c r="F22" s="799"/>
      <c r="G22" s="799"/>
      <c r="I22" s="20"/>
    </row>
    <row r="23" spans="3:9" ht="30" customHeight="1" thickTop="1" x14ac:dyDescent="0.35">
      <c r="E23" s="2"/>
      <c r="I23" s="20"/>
    </row>
    <row r="24" spans="3:9" ht="30" customHeight="1" x14ac:dyDescent="0.35">
      <c r="E24"/>
      <c r="I24" s="23"/>
    </row>
    <row r="25" spans="3:9" ht="30" customHeight="1" x14ac:dyDescent="0.35">
      <c r="E25"/>
      <c r="I25" s="23"/>
    </row>
    <row r="26" spans="3:9" ht="30" customHeight="1" x14ac:dyDescent="0.35">
      <c r="E26"/>
      <c r="I26" s="23"/>
    </row>
    <row r="27" spans="3:9" ht="30" customHeight="1" x14ac:dyDescent="0.35">
      <c r="E27"/>
      <c r="I27" s="23"/>
    </row>
    <row r="28" spans="3:9" ht="30" customHeight="1" x14ac:dyDescent="0.35">
      <c r="E28" s="26"/>
      <c r="I28" s="23"/>
    </row>
    <row r="29" spans="3:9" ht="30" customHeight="1" x14ac:dyDescent="0.35">
      <c r="E29" s="2"/>
    </row>
    <row r="30" spans="3:9" ht="30" customHeight="1" x14ac:dyDescent="0.35">
      <c r="E30"/>
    </row>
    <row r="31" spans="3:9" ht="30" customHeight="1" x14ac:dyDescent="0.35">
      <c r="E31"/>
    </row>
    <row r="32" spans="3:9" ht="30" customHeight="1" x14ac:dyDescent="0.35">
      <c r="E32"/>
    </row>
    <row r="33" spans="5:5" ht="30" customHeight="1" x14ac:dyDescent="0.35">
      <c r="E33"/>
    </row>
    <row r="34" spans="5:5" ht="30" customHeight="1" x14ac:dyDescent="0.35">
      <c r="E34"/>
    </row>
    <row r="35" spans="5:5" ht="30" customHeight="1" x14ac:dyDescent="0.35">
      <c r="E35"/>
    </row>
    <row r="36" spans="5:5" ht="30" customHeight="1" x14ac:dyDescent="0.35">
      <c r="E36"/>
    </row>
    <row r="37" spans="5:5" ht="30" customHeight="1" x14ac:dyDescent="0.35">
      <c r="E37"/>
    </row>
    <row r="38" spans="5:5" ht="30" customHeight="1" x14ac:dyDescent="0.35">
      <c r="E38"/>
    </row>
    <row r="39" spans="5:5" ht="30" customHeight="1" x14ac:dyDescent="0.35">
      <c r="E39"/>
    </row>
    <row r="40" spans="5:5" ht="30" customHeight="1" x14ac:dyDescent="0.35">
      <c r="E40"/>
    </row>
    <row r="41" spans="5:5" ht="30" customHeight="1" x14ac:dyDescent="0.35">
      <c r="E41"/>
    </row>
    <row r="42" spans="5:5" ht="30" customHeight="1" x14ac:dyDescent="0.35">
      <c r="E42"/>
    </row>
    <row r="43" spans="5:5" ht="30" customHeight="1" x14ac:dyDescent="0.35">
      <c r="E43"/>
    </row>
    <row r="44" spans="5:5" ht="30" customHeight="1" x14ac:dyDescent="0.35">
      <c r="E44"/>
    </row>
    <row r="45" spans="5:5" ht="30" customHeight="1" x14ac:dyDescent="0.35">
      <c r="E45"/>
    </row>
    <row r="46" spans="5:5" ht="30" customHeight="1" x14ac:dyDescent="0.35">
      <c r="E46"/>
    </row>
    <row r="47" spans="5:5" ht="30" customHeight="1" x14ac:dyDescent="0.35">
      <c r="E47"/>
    </row>
    <row r="48" spans="5:5" ht="30" customHeight="1" x14ac:dyDescent="0.35">
      <c r="E48"/>
    </row>
    <row r="49" spans="5:5" ht="30" customHeight="1" x14ac:dyDescent="0.35">
      <c r="E49"/>
    </row>
    <row r="50" spans="5:5" ht="30" customHeight="1" x14ac:dyDescent="0.35">
      <c r="E50"/>
    </row>
    <row r="51" spans="5:5" ht="30" customHeight="1" x14ac:dyDescent="0.35">
      <c r="E51"/>
    </row>
    <row r="52" spans="5:5" ht="30" customHeight="1" x14ac:dyDescent="0.35">
      <c r="E52"/>
    </row>
    <row r="53" spans="5:5" ht="30" customHeight="1" x14ac:dyDescent="0.35">
      <c r="E53"/>
    </row>
    <row r="54" spans="5:5" ht="30" customHeight="1" x14ac:dyDescent="0.35">
      <c r="E54"/>
    </row>
    <row r="55" spans="5:5" ht="30" customHeight="1" x14ac:dyDescent="0.35">
      <c r="E55"/>
    </row>
    <row r="56" spans="5:5" ht="30" customHeight="1" x14ac:dyDescent="0.35">
      <c r="E56"/>
    </row>
    <row r="57" spans="5:5" ht="30" customHeight="1" x14ac:dyDescent="0.35">
      <c r="E57"/>
    </row>
    <row r="58" spans="5:5" ht="30" customHeight="1" x14ac:dyDescent="0.35">
      <c r="E58"/>
    </row>
    <row r="59" spans="5:5" ht="30" customHeight="1" x14ac:dyDescent="0.35">
      <c r="E59"/>
    </row>
    <row r="60" spans="5:5" ht="30" customHeight="1" x14ac:dyDescent="0.35">
      <c r="E60"/>
    </row>
    <row r="61" spans="5:5" ht="30" customHeight="1" x14ac:dyDescent="0.35">
      <c r="E61"/>
    </row>
    <row r="62" spans="5:5" ht="30" customHeight="1" x14ac:dyDescent="0.35">
      <c r="E62"/>
    </row>
    <row r="63" spans="5:5" ht="30" customHeight="1" x14ac:dyDescent="0.35">
      <c r="E63"/>
    </row>
    <row r="64" spans="5:5" ht="30" customHeight="1" x14ac:dyDescent="0.35">
      <c r="E64"/>
    </row>
    <row r="65" spans="5:5" ht="30" customHeight="1" x14ac:dyDescent="0.35">
      <c r="E65"/>
    </row>
    <row r="66" spans="5:5" ht="30" customHeight="1" x14ac:dyDescent="0.35">
      <c r="E66"/>
    </row>
    <row r="67" spans="5:5" ht="30" customHeight="1" x14ac:dyDescent="0.35">
      <c r="E67"/>
    </row>
    <row r="68" spans="5:5" ht="30" customHeight="1" x14ac:dyDescent="0.35">
      <c r="E68"/>
    </row>
    <row r="69" spans="5:5" ht="30" customHeight="1" x14ac:dyDescent="0.35">
      <c r="E69"/>
    </row>
    <row r="70" spans="5:5" ht="30" customHeight="1" x14ac:dyDescent="0.35">
      <c r="E70"/>
    </row>
    <row r="71" spans="5:5" ht="30" customHeight="1" x14ac:dyDescent="0.35">
      <c r="E71"/>
    </row>
    <row r="72" spans="5:5" ht="30" customHeight="1" x14ac:dyDescent="0.35">
      <c r="E72"/>
    </row>
    <row r="73" spans="5:5" ht="30" customHeight="1" x14ac:dyDescent="0.35">
      <c r="E73"/>
    </row>
    <row r="74" spans="5:5" ht="30" customHeight="1" x14ac:dyDescent="0.35">
      <c r="E74"/>
    </row>
    <row r="75" spans="5:5" ht="30" customHeight="1" x14ac:dyDescent="0.35">
      <c r="E75"/>
    </row>
    <row r="76" spans="5:5" ht="30" customHeight="1" x14ac:dyDescent="0.35">
      <c r="E76"/>
    </row>
    <row r="77" spans="5:5" ht="30" customHeight="1" x14ac:dyDescent="0.35">
      <c r="E77"/>
    </row>
    <row r="78" spans="5:5" ht="30" customHeight="1" x14ac:dyDescent="0.35">
      <c r="E78"/>
    </row>
    <row r="79" spans="5:5" ht="30" customHeight="1" x14ac:dyDescent="0.35">
      <c r="E79"/>
    </row>
    <row r="80" spans="5:5" ht="30" customHeight="1" x14ac:dyDescent="0.35">
      <c r="E80"/>
    </row>
    <row r="81" spans="5:5" ht="30" customHeight="1" x14ac:dyDescent="0.35">
      <c r="E81"/>
    </row>
    <row r="82" spans="5:5" ht="30" customHeight="1" x14ac:dyDescent="0.35">
      <c r="E82"/>
    </row>
    <row r="83" spans="5:5" ht="30" customHeight="1" x14ac:dyDescent="0.35">
      <c r="E83"/>
    </row>
    <row r="84" spans="5:5" ht="30" customHeight="1" x14ac:dyDescent="0.35">
      <c r="E84"/>
    </row>
    <row r="85" spans="5:5" ht="30" customHeight="1" x14ac:dyDescent="0.35">
      <c r="E85"/>
    </row>
    <row r="86" spans="5:5" ht="30" customHeight="1" x14ac:dyDescent="0.35">
      <c r="E86"/>
    </row>
    <row r="87" spans="5:5" ht="30" customHeight="1" x14ac:dyDescent="0.35">
      <c r="E87"/>
    </row>
    <row r="88" spans="5:5" ht="30" customHeight="1" x14ac:dyDescent="0.35">
      <c r="E88"/>
    </row>
    <row r="89" spans="5:5" ht="30" customHeight="1" x14ac:dyDescent="0.35">
      <c r="E89"/>
    </row>
    <row r="90" spans="5:5" ht="30" customHeight="1" x14ac:dyDescent="0.35">
      <c r="E90"/>
    </row>
    <row r="91" spans="5:5" ht="30" customHeight="1" x14ac:dyDescent="0.35">
      <c r="E91"/>
    </row>
    <row r="92" spans="5:5" ht="30" customHeight="1" x14ac:dyDescent="0.35">
      <c r="E92"/>
    </row>
    <row r="93" spans="5:5" ht="30" customHeight="1" x14ac:dyDescent="0.35">
      <c r="E93"/>
    </row>
    <row r="94" spans="5:5" ht="30" customHeight="1" x14ac:dyDescent="0.35">
      <c r="E94"/>
    </row>
    <row r="95" spans="5:5" ht="30" customHeight="1" x14ac:dyDescent="0.35">
      <c r="E95"/>
    </row>
    <row r="96" spans="5:5" ht="30" customHeight="1" x14ac:dyDescent="0.35">
      <c r="E96"/>
    </row>
    <row r="97" spans="2:9" ht="30" customHeight="1" x14ac:dyDescent="0.35">
      <c r="E97"/>
    </row>
    <row r="98" spans="2:9" ht="30" customHeight="1" x14ac:dyDescent="0.35">
      <c r="E98"/>
    </row>
    <row r="99" spans="2:9" ht="30" customHeight="1" x14ac:dyDescent="0.35">
      <c r="E99"/>
    </row>
    <row r="100" spans="2:9" ht="30" customHeight="1" x14ac:dyDescent="0.35">
      <c r="E100"/>
    </row>
    <row r="101" spans="2:9" ht="30" customHeight="1" x14ac:dyDescent="0.35">
      <c r="E101"/>
    </row>
    <row r="102" spans="2:9" ht="30" customHeight="1" x14ac:dyDescent="0.35">
      <c r="E102"/>
    </row>
    <row r="103" spans="2:9" ht="30" customHeight="1" x14ac:dyDescent="0.35">
      <c r="E103"/>
    </row>
    <row r="104" spans="2:9" ht="30" customHeight="1" x14ac:dyDescent="0.35">
      <c r="E104"/>
    </row>
    <row r="105" spans="2:9" ht="30" customHeight="1" x14ac:dyDescent="0.35">
      <c r="E105"/>
    </row>
    <row r="106" spans="2:9" ht="30" customHeight="1" x14ac:dyDescent="0.35">
      <c r="E106"/>
    </row>
    <row r="107" spans="2:9" ht="30" customHeight="1" x14ac:dyDescent="0.35">
      <c r="E107"/>
    </row>
    <row r="108" spans="2:9" ht="30" customHeight="1" x14ac:dyDescent="0.35">
      <c r="E108"/>
    </row>
    <row r="109" spans="2:9" s="1" customFormat="1" ht="14.5" hidden="1" x14ac:dyDescent="0.35">
      <c r="B109"/>
      <c r="C109"/>
      <c r="D109"/>
      <c r="E109"/>
      <c r="F109"/>
      <c r="G109"/>
      <c r="H109"/>
      <c r="I109"/>
    </row>
    <row r="110" spans="2:9" s="1" customFormat="1" ht="14.5" hidden="1" x14ac:dyDescent="0.35">
      <c r="B110"/>
      <c r="C110"/>
      <c r="D110"/>
      <c r="E110"/>
      <c r="F110"/>
      <c r="G110"/>
      <c r="H110"/>
      <c r="I110"/>
    </row>
    <row r="111" spans="2:9" s="1" customFormat="1" ht="15" hidden="1" customHeight="1" x14ac:dyDescent="0.35">
      <c r="B111"/>
      <c r="C111"/>
      <c r="D111"/>
      <c r="E111" s="3"/>
      <c r="F111"/>
      <c r="G111"/>
      <c r="H111"/>
      <c r="I111"/>
    </row>
    <row r="112" spans="2:9" s="1" customFormat="1" ht="0" hidden="1" customHeight="1" x14ac:dyDescent="0.35">
      <c r="B112"/>
      <c r="C112"/>
      <c r="D112"/>
      <c r="E112" s="3"/>
      <c r="F112"/>
      <c r="G112"/>
      <c r="H112"/>
      <c r="I112"/>
    </row>
  </sheetData>
  <mergeCells count="12">
    <mergeCell ref="C19:D19"/>
    <mergeCell ref="C4:D4"/>
    <mergeCell ref="C9:D9"/>
    <mergeCell ref="C14:D14"/>
    <mergeCell ref="F15:G17"/>
    <mergeCell ref="F19:G19"/>
    <mergeCell ref="F20:G22"/>
    <mergeCell ref="F4:G4"/>
    <mergeCell ref="F5:G7"/>
    <mergeCell ref="F9:G9"/>
    <mergeCell ref="F10:G12"/>
    <mergeCell ref="F14:G14"/>
  </mergeCells>
  <pageMargins left="0.511811024" right="0.511811024" top="0.78740157499999996" bottom="0.78740157499999996" header="0.31496062000000002" footer="0.31496062000000002"/>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F4623-6C7D-44F7-BA61-B903E2B57FB5}">
  <sheetPr>
    <pageSetUpPr fitToPage="1"/>
  </sheetPr>
  <dimension ref="B1:AC65"/>
  <sheetViews>
    <sheetView showGridLines="0" zoomScaleNormal="100" workbookViewId="0">
      <pane ySplit="1" topLeftCell="A33" activePane="bottomLeft" state="frozen"/>
      <selection pane="bottomLeft" activeCell="I23" sqref="I23"/>
    </sheetView>
  </sheetViews>
  <sheetFormatPr defaultColWidth="9.1796875" defaultRowHeight="14.5" x14ac:dyDescent="0.35"/>
  <cols>
    <col min="1" max="1" width="3.36328125" customWidth="1"/>
    <col min="2" max="2" width="80.453125" customWidth="1"/>
    <col min="3" max="3" width="23.90625" customWidth="1"/>
    <col min="4" max="4" width="23.54296875" customWidth="1"/>
    <col min="5" max="5" width="22.6328125" customWidth="1"/>
    <col min="6" max="6" width="21" customWidth="1"/>
    <col min="7" max="7" width="23.6328125" customWidth="1"/>
    <col min="8" max="8" width="10.6328125" customWidth="1"/>
    <col min="9" max="9" width="49.6328125" customWidth="1"/>
    <col min="10" max="10" width="4.81640625" customWidth="1"/>
    <col min="11" max="11" width="6.26953125" customWidth="1"/>
    <col min="12" max="12" width="7.90625" customWidth="1"/>
    <col min="13" max="13" width="21.36328125" customWidth="1"/>
    <col min="14" max="14" width="10.1796875" customWidth="1"/>
    <col min="15" max="15" width="19.6328125" customWidth="1"/>
    <col min="16" max="16" width="9.26953125" customWidth="1"/>
    <col min="17" max="22" width="9.1796875" customWidth="1"/>
    <col min="23" max="23" width="9" customWidth="1"/>
    <col min="24" max="24" width="12.54296875" customWidth="1"/>
    <col min="25" max="25" width="14.08984375" customWidth="1"/>
    <col min="16376" max="16384" width="27.26953125" customWidth="1"/>
  </cols>
  <sheetData>
    <row r="1" spans="2:11" s="10" customFormat="1" ht="26.5" customHeight="1" x14ac:dyDescent="0.35"/>
    <row r="2" spans="2:11" ht="54.75" customHeight="1" x14ac:dyDescent="0.35">
      <c r="B2" s="820" t="str">
        <f>"A Questão Principal Encontra-se no "&amp;VLOOKUP(MAX(C7,C8,C9,C10),W35:X39,2,0)</f>
        <v>A Questão Principal Encontra-se no Nível - 2</v>
      </c>
      <c r="C2" s="821"/>
      <c r="D2" s="822" t="str">
        <f>VLOOKUP(W33,$X$35:$Y$39,2,FALSE)</f>
        <v>2 - Em Termos com Recomendações - A Conta poderá ser considerada em Termos, contudo, deverão ser feitas recomendações para a melhoria da apresentação da mesma.</v>
      </c>
      <c r="E2" s="823"/>
      <c r="F2" s="823"/>
      <c r="G2" s="823"/>
      <c r="H2" s="824"/>
    </row>
    <row r="3" spans="2:11" ht="5.25" customHeight="1" thickBot="1" x14ac:dyDescent="0.4">
      <c r="B3" s="147"/>
    </row>
    <row r="4" spans="2:11" ht="55.5" customHeight="1" thickBot="1" x14ac:dyDescent="0.4">
      <c r="B4" s="152" t="str">
        <f>"Percentagem das Questões por "&amp;VLOOKUP(MAX(C7,C8,C9,C10),W35:X39,2,0)</f>
        <v>Percentagem das Questões por Nível - 2</v>
      </c>
      <c r="C4" s="151" t="str">
        <f>VLOOKUP($W$33,$X$35:$Z$39,3,FALSE)</f>
        <v>55,56%</v>
      </c>
      <c r="D4" s="825" t="s">
        <v>1566</v>
      </c>
      <c r="E4" s="826"/>
      <c r="F4" s="826"/>
      <c r="G4" s="826"/>
      <c r="H4" s="827"/>
    </row>
    <row r="5" spans="2:11" ht="11.25" customHeight="1" x14ac:dyDescent="0.35">
      <c r="B5" s="150">
        <f>C4*100</f>
        <v>55.559999999999995</v>
      </c>
      <c r="C5" s="150">
        <f>IF(B5&lt;25,1,IF(B5&lt;50,2,IF(B5&lt;75,3,IF(B5&lt;100,4,""))))</f>
        <v>3</v>
      </c>
    </row>
    <row r="6" spans="2:11" ht="33" customHeight="1" thickBot="1" x14ac:dyDescent="0.4">
      <c r="B6" s="149" t="s">
        <v>1567</v>
      </c>
      <c r="C6" s="557" t="s">
        <v>1568</v>
      </c>
      <c r="D6" s="148" t="s">
        <v>1569</v>
      </c>
      <c r="E6" s="828" t="s">
        <v>1570</v>
      </c>
      <c r="F6" s="829"/>
      <c r="G6" s="829"/>
      <c r="H6" s="829"/>
      <c r="I6" s="147"/>
    </row>
    <row r="7" spans="2:11" ht="57" customHeight="1" thickBot="1" x14ac:dyDescent="0.4">
      <c r="B7" s="145" t="s">
        <v>1571</v>
      </c>
      <c r="C7" s="144">
        <f>COUNTIF($G$35:$G$61,"=1")</f>
        <v>11</v>
      </c>
      <c r="D7" s="143" t="str">
        <f>VLOOKUP(B7,X35:Z39,3,FALSE)</f>
        <v>40,74%</v>
      </c>
      <c r="E7" s="830" t="s">
        <v>1572</v>
      </c>
      <c r="F7" s="831"/>
      <c r="G7" s="831"/>
      <c r="H7" s="832"/>
      <c r="I7" s="146"/>
    </row>
    <row r="8" spans="2:11" ht="57" customHeight="1" thickBot="1" x14ac:dyDescent="0.4">
      <c r="B8" s="145" t="s">
        <v>1573</v>
      </c>
      <c r="C8" s="144">
        <f>COUNTIF($G$35:$G$61,"=2")</f>
        <v>15</v>
      </c>
      <c r="D8" s="143" t="str">
        <f>VLOOKUP(B8,X35:Z39,3,FALSE)</f>
        <v>55,56%</v>
      </c>
      <c r="E8" s="811" t="s">
        <v>1574</v>
      </c>
      <c r="F8" s="812"/>
      <c r="G8" s="812"/>
      <c r="H8" s="813"/>
    </row>
    <row r="9" spans="2:11" ht="55.5" customHeight="1" thickBot="1" x14ac:dyDescent="0.4">
      <c r="B9" s="145" t="s">
        <v>1575</v>
      </c>
      <c r="C9" s="144">
        <f>COUNTIF($G$35:$G$61,"=3")</f>
        <v>1</v>
      </c>
      <c r="D9" s="143" t="str">
        <f>VLOOKUP(B9,X35:Z39,3,FALSE)</f>
        <v>3,7%</v>
      </c>
      <c r="E9" s="814" t="s">
        <v>1771</v>
      </c>
      <c r="F9" s="815"/>
      <c r="G9" s="815"/>
      <c r="H9" s="816"/>
    </row>
    <row r="10" spans="2:11" ht="10.5" customHeight="1" x14ac:dyDescent="0.35">
      <c r="B10" s="142"/>
      <c r="C10" s="141"/>
      <c r="D10" s="140"/>
      <c r="E10" s="817"/>
      <c r="F10" s="818"/>
      <c r="G10" s="818"/>
      <c r="H10" s="819"/>
    </row>
    <row r="13" spans="2:11" ht="18.5" x14ac:dyDescent="0.45">
      <c r="B13" s="662" t="s">
        <v>1576</v>
      </c>
      <c r="C13" s="662"/>
      <c r="D13" s="662"/>
      <c r="E13" s="662"/>
      <c r="F13" s="662"/>
      <c r="G13" s="662"/>
      <c r="H13" s="139"/>
      <c r="J13" s="139"/>
      <c r="K13" s="139"/>
    </row>
    <row r="15" spans="2:11" ht="15.5" x14ac:dyDescent="0.35">
      <c r="B15" s="131" t="s">
        <v>1577</v>
      </c>
      <c r="C15" s="131" t="s">
        <v>1578</v>
      </c>
      <c r="D15" s="131" t="s">
        <v>1579</v>
      </c>
      <c r="E15" s="131" t="s">
        <v>1409</v>
      </c>
      <c r="F15" s="131" t="s">
        <v>1580</v>
      </c>
      <c r="G15" s="131" t="s">
        <v>1581</v>
      </c>
      <c r="H15" s="73"/>
      <c r="K15" s="138"/>
    </row>
    <row r="16" spans="2:11" ht="15.5" x14ac:dyDescent="0.35">
      <c r="B16" s="133"/>
      <c r="C16" s="133"/>
      <c r="D16" s="582"/>
      <c r="E16" s="137">
        <f>Tabela14[[#This Row],[Valor Declarado]]-Tabela14[[#This Row],[Consolidado TC]]</f>
        <v>0</v>
      </c>
      <c r="F16" s="137" t="str">
        <f>IFERROR(AVERAGE(C16,D16),"")</f>
        <v/>
      </c>
      <c r="G16" s="133"/>
      <c r="K16" s="135"/>
    </row>
    <row r="17" spans="2:29" ht="15.5" x14ac:dyDescent="0.35">
      <c r="B17" s="98" t="s">
        <v>1582</v>
      </c>
      <c r="C17" s="586">
        <f>'Balanço Patrimonial'!E15+'Balanço Patrimonial'!E33</f>
        <v>5010043583.5299997</v>
      </c>
      <c r="D17" s="586">
        <f>'Balanço Patrimonial'!E14+'Balanço Patrimonial'!E33</f>
        <v>5010043583.5299997</v>
      </c>
      <c r="E17" s="583">
        <f>Tabela14[[#This Row],[Valor Declarado]]-Tabela14[[#This Row],[Consolidado TC]]</f>
        <v>0</v>
      </c>
      <c r="F17" s="584">
        <f>IFERROR(AVERAGE(C17,D17),"")</f>
        <v>5010043583.5299997</v>
      </c>
      <c r="G17" s="132" t="str">
        <f>IF(OR(E17=0,ABS(E17)&lt;=15%*D17),"Correcto","Incorrecto")</f>
        <v>Correcto</v>
      </c>
      <c r="H17" s="73"/>
      <c r="K17" s="135"/>
    </row>
    <row r="18" spans="2:29" ht="15.5" x14ac:dyDescent="0.35">
      <c r="B18" s="98" t="s">
        <v>1583</v>
      </c>
      <c r="C18" s="586">
        <f>'Balanço Patrimonial'!L15+'Balanço Patrimonial'!L27+'Balanço Patrimonial'!L37</f>
        <v>5010042010.0900002</v>
      </c>
      <c r="D18" s="586">
        <f>'Balanço Patrimonial'!L14+'Balanço Patrimonial'!L26+'Balanço Patrimonial'!L36</f>
        <v>5119602290.9500008</v>
      </c>
      <c r="E18" s="583">
        <f>Tabela14[[#This Row],[Valor Declarado]]-Tabela14[[#This Row],[Consolidado TC]]</f>
        <v>-109560280.86000061</v>
      </c>
      <c r="F18" s="584">
        <f t="shared" ref="F18:F27" si="0">IFERROR(AVERAGE(C18,D18),"")</f>
        <v>5064822150.5200005</v>
      </c>
      <c r="G18" s="132" t="str">
        <f t="shared" ref="G18:G28" si="1">IF(OR(E18=0,ABS(E18)&lt;=15%*D18),"Correcto","Incorrecto")</f>
        <v>Correcto</v>
      </c>
      <c r="H18" s="66"/>
      <c r="K18" s="135"/>
    </row>
    <row r="19" spans="2:29" ht="15.5" x14ac:dyDescent="0.35">
      <c r="B19" s="98" t="s">
        <v>1584</v>
      </c>
      <c r="C19" s="586">
        <v>92061414.829999998</v>
      </c>
      <c r="D19" s="585">
        <f>ABS('Balanço Patrimonial'!L34)</f>
        <v>1674200192.9499998</v>
      </c>
      <c r="E19" s="583">
        <f>Tabela14[[#This Row],[Valor Declarado]]-Tabela14[[#This Row],[Consolidado TC]]</f>
        <v>-1582138778.1199999</v>
      </c>
      <c r="F19" s="584">
        <f t="shared" si="0"/>
        <v>883130803.88999987</v>
      </c>
      <c r="G19" s="132" t="str">
        <f t="shared" si="1"/>
        <v>Incorrecto</v>
      </c>
      <c r="H19" s="73"/>
      <c r="K19" s="135"/>
    </row>
    <row r="20" spans="2:29" ht="15.5" x14ac:dyDescent="0.35">
      <c r="B20" s="98" t="s">
        <v>1585</v>
      </c>
      <c r="C20" s="586">
        <v>92061414.829999998</v>
      </c>
      <c r="D20" s="585">
        <f>ABS(DRE!E19)</f>
        <v>1674200192.9499989</v>
      </c>
      <c r="E20" s="583">
        <f>Tabela14[[#This Row],[Valor Declarado]]-Tabela14[[#This Row],[Consolidado TC]]</f>
        <v>-1582138778.1199989</v>
      </c>
      <c r="F20" s="584">
        <f t="shared" si="0"/>
        <v>883130803.88999939</v>
      </c>
      <c r="G20" s="132" t="str">
        <f t="shared" si="1"/>
        <v>Incorrecto</v>
      </c>
      <c r="H20" s="66"/>
      <c r="K20" s="135"/>
    </row>
    <row r="21" spans="2:29" ht="15.5" x14ac:dyDescent="0.35">
      <c r="B21" s="231" t="s">
        <v>1586</v>
      </c>
      <c r="C21" s="585">
        <v>26063795.609999999</v>
      </c>
      <c r="D21" s="585">
        <f>'Balanço Patrimonial'!E21</f>
        <v>52657492.650000155</v>
      </c>
      <c r="E21" s="583">
        <f>Tabela14[[#This Row],[Valor Declarado]]-Tabela14[[#This Row],[Consolidado TC]]</f>
        <v>-26593697.040000156</v>
      </c>
      <c r="F21" s="584">
        <f t="shared" si="0"/>
        <v>39360644.130000077</v>
      </c>
      <c r="G21" s="132" t="str">
        <f t="shared" si="1"/>
        <v>Incorrecto</v>
      </c>
      <c r="H21" s="66"/>
      <c r="K21" s="135"/>
    </row>
    <row r="22" spans="2:29" ht="15.5" x14ac:dyDescent="0.35">
      <c r="B22" s="231" t="s">
        <v>1587</v>
      </c>
      <c r="C22" s="585"/>
      <c r="D22" s="585"/>
      <c r="E22" s="583">
        <f>Tabela14[[#This Row],[Valor Declarado]]-Tabela14[[#This Row],[Consolidado TC]]</f>
        <v>0</v>
      </c>
      <c r="F22" s="584" t="str">
        <f t="shared" si="0"/>
        <v/>
      </c>
      <c r="G22" s="132" t="str">
        <f t="shared" si="1"/>
        <v>Correcto</v>
      </c>
      <c r="H22" s="66"/>
      <c r="K22" s="135"/>
    </row>
    <row r="23" spans="2:29" ht="15.5" x14ac:dyDescent="0.35">
      <c r="B23" s="231" t="s">
        <v>1588</v>
      </c>
      <c r="C23" s="585">
        <v>0</v>
      </c>
      <c r="D23" s="585">
        <f>'Balanço Patrimonial'!E7+'Balanço Patrimonial'!E8</f>
        <v>0</v>
      </c>
      <c r="E23" s="583">
        <f>Tabela14[[#This Row],[Valor Declarado]]-Tabela14[[#This Row],[Consolidado TC]]</f>
        <v>0</v>
      </c>
      <c r="F23" s="584">
        <f t="shared" si="0"/>
        <v>0</v>
      </c>
      <c r="G23" s="132" t="str">
        <f t="shared" si="1"/>
        <v>Correcto</v>
      </c>
      <c r="H23" s="66"/>
      <c r="K23" s="135"/>
    </row>
    <row r="24" spans="2:29" ht="15.5" x14ac:dyDescent="0.35">
      <c r="B24" s="231" t="s">
        <v>1589</v>
      </c>
      <c r="C24" s="585"/>
      <c r="D24" s="585"/>
      <c r="E24" s="583">
        <f>Tabela14[[#This Row],[Valor Declarado]]-Tabela14[[#This Row],[Consolidado TC]]</f>
        <v>0</v>
      </c>
      <c r="F24" s="584" t="str">
        <f t="shared" si="0"/>
        <v/>
      </c>
      <c r="G24" s="132" t="str">
        <f t="shared" si="1"/>
        <v>Correcto</v>
      </c>
      <c r="H24" s="73"/>
      <c r="K24" s="10"/>
    </row>
    <row r="25" spans="2:29" ht="15.5" x14ac:dyDescent="0.35">
      <c r="B25" s="231"/>
      <c r="C25" s="585"/>
      <c r="D25" s="585"/>
      <c r="E25" s="583">
        <f>Tabela14[[#This Row],[Valor Declarado]]-Tabela14[[#This Row],[Consolidado TC]]</f>
        <v>0</v>
      </c>
      <c r="F25" s="584" t="str">
        <f t="shared" si="0"/>
        <v/>
      </c>
      <c r="G25" s="132" t="str">
        <f t="shared" si="1"/>
        <v>Correcto</v>
      </c>
      <c r="H25" s="66"/>
      <c r="K25" s="134"/>
    </row>
    <row r="26" spans="2:29" ht="15.5" x14ac:dyDescent="0.35">
      <c r="B26" s="231"/>
      <c r="C26" s="585"/>
      <c r="D26" s="585"/>
      <c r="E26" s="583">
        <f>Tabela14[[#This Row],[Valor Declarado]]-Tabela14[[#This Row],[Consolidado TC]]</f>
        <v>0</v>
      </c>
      <c r="F26" s="584" t="str">
        <f t="shared" si="0"/>
        <v/>
      </c>
      <c r="G26" s="132" t="str">
        <f t="shared" si="1"/>
        <v>Correcto</v>
      </c>
      <c r="H26" s="66"/>
      <c r="K26" s="134"/>
    </row>
    <row r="27" spans="2:29" ht="15.5" x14ac:dyDescent="0.35">
      <c r="B27" s="133"/>
      <c r="C27" s="585"/>
      <c r="D27" s="585"/>
      <c r="E27" s="583">
        <f>Tabela14[[#This Row],[Valor Declarado]]-Tabela14[[#This Row],[Consolidado TC]]</f>
        <v>0</v>
      </c>
      <c r="F27" s="584" t="str">
        <f t="shared" si="0"/>
        <v/>
      </c>
      <c r="G27" s="132" t="str">
        <f t="shared" si="1"/>
        <v>Correcto</v>
      </c>
      <c r="H27" s="66"/>
      <c r="M27" s="27"/>
      <c r="N27" s="27"/>
      <c r="O27" s="27"/>
      <c r="P27" s="27"/>
      <c r="Q27" s="27"/>
      <c r="R27" s="27"/>
      <c r="S27" s="27"/>
      <c r="T27" s="27"/>
      <c r="U27" s="27"/>
      <c r="V27" s="27"/>
      <c r="W27" s="27"/>
      <c r="X27" s="27"/>
      <c r="Y27" s="27"/>
    </row>
    <row r="28" spans="2:29" ht="15.5" x14ac:dyDescent="0.35">
      <c r="B28" s="133"/>
      <c r="C28" s="585"/>
      <c r="D28" s="585"/>
      <c r="E28" s="583">
        <f>Tabela14[[#This Row],[Valor Declarado]]-Tabela14[[#This Row],[Consolidado TC]]</f>
        <v>0</v>
      </c>
      <c r="F28" s="583">
        <f t="shared" ref="F28:F29" si="2">IFERROR(AVERAGE(C28,D28,E28),"")</f>
        <v>0</v>
      </c>
      <c r="G28" s="132" t="str">
        <f t="shared" si="1"/>
        <v>Correcto</v>
      </c>
      <c r="M28" s="27"/>
      <c r="N28" s="27"/>
      <c r="O28" s="27"/>
      <c r="P28" s="27"/>
      <c r="Q28" s="27"/>
      <c r="R28" s="27"/>
      <c r="S28" s="27"/>
      <c r="T28" s="27"/>
      <c r="U28" s="27"/>
      <c r="V28" s="27"/>
      <c r="W28" s="27"/>
      <c r="X28" s="27"/>
      <c r="Y28" s="27"/>
      <c r="Z28" s="27"/>
      <c r="AA28" s="27"/>
      <c r="AB28" s="27"/>
      <c r="AC28" s="27"/>
    </row>
    <row r="29" spans="2:29" ht="18.75" customHeight="1" x14ac:dyDescent="0.35">
      <c r="B29" s="98" t="s">
        <v>1590</v>
      </c>
      <c r="C29" s="585"/>
      <c r="D29" s="585"/>
      <c r="E29" s="583">
        <f>Tabela14[[#This Row],[Valor Declarado]]-Tabela14[[#This Row],[Consolidado TC]]</f>
        <v>0</v>
      </c>
      <c r="F29" s="583">
        <f t="shared" si="2"/>
        <v>0</v>
      </c>
      <c r="G29" s="131" t="str" cm="1">
        <f t="array" ref="G29">IF(AND(G17:G28="Correcto"),"Sem Gravidade","Grave")</f>
        <v>Grave</v>
      </c>
      <c r="H29" s="73"/>
      <c r="M29" s="27"/>
      <c r="N29" s="27"/>
      <c r="O29" s="27"/>
      <c r="P29" s="27"/>
      <c r="Q29" s="27"/>
      <c r="R29" s="27"/>
      <c r="S29" s="27"/>
      <c r="T29" s="27"/>
      <c r="U29" s="27"/>
      <c r="V29" s="27"/>
      <c r="W29" s="27"/>
      <c r="X29" s="27"/>
      <c r="Y29" s="27"/>
      <c r="Z29" s="27"/>
      <c r="AA29" s="27"/>
      <c r="AB29" s="27"/>
      <c r="AC29" s="27"/>
    </row>
    <row r="30" spans="2:29" x14ac:dyDescent="0.35">
      <c r="M30" s="27"/>
      <c r="N30" s="27"/>
      <c r="O30" s="27"/>
      <c r="P30" s="27"/>
      <c r="Q30" s="27"/>
      <c r="R30" s="27"/>
      <c r="S30" s="27"/>
      <c r="T30" s="27"/>
      <c r="U30" s="27"/>
      <c r="V30" s="27"/>
      <c r="W30" s="27"/>
      <c r="X30" s="27"/>
      <c r="Y30" s="27"/>
      <c r="Z30" s="27"/>
      <c r="AA30" s="27"/>
      <c r="AB30" s="27"/>
      <c r="AC30" s="27"/>
    </row>
    <row r="31" spans="2:29" x14ac:dyDescent="0.35">
      <c r="E31" s="805"/>
      <c r="F31" s="805"/>
      <c r="G31" s="130"/>
      <c r="K31" s="2"/>
      <c r="L31" s="2"/>
      <c r="M31" s="27"/>
      <c r="N31" s="27"/>
      <c r="O31" s="27"/>
      <c r="P31" s="27"/>
      <c r="Q31" s="27"/>
      <c r="R31" s="27"/>
      <c r="S31" s="27"/>
      <c r="T31" s="27"/>
      <c r="U31" s="27"/>
      <c r="V31" s="27"/>
      <c r="W31" s="27"/>
      <c r="X31" s="27"/>
      <c r="Y31" s="27"/>
      <c r="Z31" s="27"/>
      <c r="AA31" s="27"/>
      <c r="AB31" s="27"/>
      <c r="AC31" s="27"/>
    </row>
    <row r="32" spans="2:29" ht="20.149999999999999" customHeight="1" x14ac:dyDescent="0.45">
      <c r="B32" s="662" t="s">
        <v>1591</v>
      </c>
      <c r="C32" s="662"/>
      <c r="D32" s="662"/>
      <c r="E32" s="662"/>
      <c r="F32" s="662"/>
      <c r="G32" s="662"/>
      <c r="K32" s="2"/>
      <c r="L32" s="2"/>
      <c r="M32" s="27"/>
      <c r="N32" s="27"/>
      <c r="O32" s="27"/>
      <c r="P32" s="27"/>
      <c r="Q32" s="27"/>
      <c r="R32" s="27"/>
      <c r="S32" s="27"/>
      <c r="T32" s="27"/>
      <c r="U32" s="27"/>
      <c r="V32" s="27"/>
      <c r="W32" s="27" t="str">
        <f>VLOOKUP(W33,$X$35:$Y$39,2,FALSE)</f>
        <v>2 - Em Termos com Recomendações - A Conta poderá ser considerada em Termos, contudo, deverão ser feitas recomendações para a melhoria da apresentação da mesma.</v>
      </c>
      <c r="X32" s="27"/>
      <c r="Y32" s="27"/>
      <c r="Z32" s="27"/>
      <c r="AA32" s="27"/>
      <c r="AB32" s="27"/>
      <c r="AC32" s="27"/>
    </row>
    <row r="33" spans="2:29" ht="38.5" customHeight="1" x14ac:dyDescent="0.35">
      <c r="B33" s="806" t="s">
        <v>1592</v>
      </c>
      <c r="C33" s="806"/>
      <c r="D33" s="807" t="s">
        <v>1724</v>
      </c>
      <c r="E33" s="808"/>
      <c r="F33" s="595" t="s">
        <v>1593</v>
      </c>
      <c r="G33" s="595" t="s">
        <v>1594</v>
      </c>
      <c r="H33" s="806" t="s">
        <v>1595</v>
      </c>
      <c r="I33" s="806"/>
      <c r="K33" s="2"/>
      <c r="L33" s="2"/>
      <c r="M33" s="27"/>
      <c r="N33" s="27"/>
      <c r="O33" s="27"/>
      <c r="P33" s="27"/>
      <c r="Q33" s="27"/>
      <c r="R33" s="27"/>
      <c r="S33" s="27"/>
      <c r="T33" s="27"/>
      <c r="U33" s="27"/>
      <c r="V33" s="27"/>
      <c r="W33" s="27" t="str">
        <f>VLOOKUP(MAX(C7,C8,C9,C10),W35:X39,2,0)</f>
        <v>Nível - 2</v>
      </c>
      <c r="X33" s="27"/>
      <c r="Y33" s="27"/>
      <c r="Z33" s="27"/>
      <c r="AA33" s="27"/>
      <c r="AB33" s="27"/>
      <c r="AC33" s="27"/>
    </row>
    <row r="34" spans="2:29" ht="6" customHeight="1" x14ac:dyDescent="0.45">
      <c r="B34" s="589"/>
      <c r="C34" s="590"/>
      <c r="D34" s="590"/>
      <c r="E34" s="575"/>
      <c r="F34" s="590"/>
      <c r="G34" s="590"/>
      <c r="H34" s="833"/>
      <c r="I34" s="834"/>
      <c r="K34" s="2"/>
      <c r="L34" s="2"/>
      <c r="M34" s="27"/>
      <c r="N34" s="27"/>
      <c r="O34" s="27"/>
      <c r="P34" s="27"/>
      <c r="Q34" s="27"/>
      <c r="R34" s="27"/>
      <c r="S34" s="27"/>
      <c r="T34" s="27"/>
      <c r="U34" s="27"/>
      <c r="V34" s="27"/>
      <c r="W34" s="27"/>
      <c r="X34" s="27"/>
      <c r="Y34" s="27"/>
      <c r="Z34" s="27"/>
      <c r="AA34" s="27"/>
      <c r="AB34" s="27"/>
      <c r="AC34" s="27"/>
    </row>
    <row r="35" spans="2:29" ht="30" customHeight="1" x14ac:dyDescent="0.45">
      <c r="B35" s="801" t="s">
        <v>1745</v>
      </c>
      <c r="C35" s="801"/>
      <c r="D35" s="802" t="s">
        <v>1776</v>
      </c>
      <c r="E35" s="803"/>
      <c r="F35" s="591" t="s">
        <v>1597</v>
      </c>
      <c r="G35" s="596">
        <f t="shared" ref="G35:G61" si="3">N35</f>
        <v>2</v>
      </c>
      <c r="H35" s="804" t="str">
        <f>IF(OR(F35="Grave",F35="Muito Grave"),"Sancionatória - Multa nos termos do artigo 29º, nº 1, alínea g) da Lei nº 13/10, de 9 de Julho.","")</f>
        <v>Sancionatória - Multa nos termos do artigo 29º, nº 1, alínea g) da Lei nº 13/10, de 9 de Julho.</v>
      </c>
      <c r="I35" s="804"/>
      <c r="K35" s="2"/>
      <c r="L35" s="27" t="str">
        <f t="shared" ref="L35:L61" si="4">REPT(G35,1)</f>
        <v>2</v>
      </c>
      <c r="M35" s="27"/>
      <c r="N35" s="27">
        <f>IFERROR(VLOOKUP(F35,$O$35:$P$61,2,FALSE),"")</f>
        <v>2</v>
      </c>
      <c r="O35" s="27" t="s">
        <v>1596</v>
      </c>
      <c r="P35" s="27">
        <v>1</v>
      </c>
      <c r="Q35" s="27"/>
      <c r="R35" s="27"/>
      <c r="S35" s="27"/>
      <c r="T35" s="27"/>
      <c r="U35" s="127">
        <f>V35/$V$38*100</f>
        <v>40.74074074074074</v>
      </c>
      <c r="V35" s="27">
        <f>W35*100%</f>
        <v>11</v>
      </c>
      <c r="W35" s="128">
        <f>C7</f>
        <v>11</v>
      </c>
      <c r="X35" s="27" t="s">
        <v>1571</v>
      </c>
      <c r="Y35" s="27" t="str">
        <f>E7</f>
        <v>1 - Em Termos - Deverá ser devolvida aos Gestores da Entidade.</v>
      </c>
      <c r="Z35" s="27" t="str">
        <f>ROUND(U35,2)&amp;"%"</f>
        <v>40,74%</v>
      </c>
      <c r="AA35" s="27"/>
      <c r="AB35" s="27"/>
      <c r="AC35" s="27"/>
    </row>
    <row r="36" spans="2:29" ht="30" customHeight="1" x14ac:dyDescent="0.45">
      <c r="B36" s="801" t="s">
        <v>1746</v>
      </c>
      <c r="C36" s="801"/>
      <c r="D36" s="802" t="s">
        <v>1776</v>
      </c>
      <c r="E36" s="803"/>
      <c r="F36" s="591" t="s">
        <v>1596</v>
      </c>
      <c r="G36" s="596">
        <f t="shared" si="3"/>
        <v>1</v>
      </c>
      <c r="H36" s="804" t="str">
        <f t="shared" ref="H36:H65" si="5">IF(OR(F36="Grave",F36="Muito Grave"),"Sancionatória - Multa nos termos do artigo 29º, nº 1, alínea g) da Lei nº 13/10, de 9 de Julho.","")</f>
        <v/>
      </c>
      <c r="I36" s="804"/>
      <c r="K36" s="2"/>
      <c r="L36" s="27" t="str">
        <f t="shared" si="4"/>
        <v>1</v>
      </c>
      <c r="M36" s="27"/>
      <c r="N36" s="27">
        <f t="shared" ref="N36:N61" si="6">IFERROR(VLOOKUP(F36,$O$35:$P$61,2,FALSE),"")</f>
        <v>1</v>
      </c>
      <c r="O36" s="27" t="s">
        <v>1597</v>
      </c>
      <c r="P36" s="27">
        <v>2</v>
      </c>
      <c r="Q36" s="27"/>
      <c r="R36" s="27"/>
      <c r="S36" s="27"/>
      <c r="T36" s="27"/>
      <c r="U36" s="127">
        <f t="shared" ref="U36:U37" si="7">V36/$V$38*100</f>
        <v>55.555555555555557</v>
      </c>
      <c r="V36" s="27">
        <f>W36*100%</f>
        <v>15</v>
      </c>
      <c r="W36" s="128">
        <f>C8</f>
        <v>15</v>
      </c>
      <c r="X36" s="27" t="s">
        <v>1573</v>
      </c>
      <c r="Y36" s="27" t="str">
        <f>E8</f>
        <v>2 - Em Termos com Recomendações - A Conta poderá ser considerada em Termos, contudo, deverão ser feitas recomendações para a melhoria da apresentação da mesma.</v>
      </c>
      <c r="Z36" s="27" t="str">
        <f>ROUND(U36,2)&amp;"%"</f>
        <v>55,56%</v>
      </c>
      <c r="AA36" s="27"/>
      <c r="AB36" s="27"/>
      <c r="AC36" s="27"/>
    </row>
    <row r="37" spans="2:29" ht="30" customHeight="1" x14ac:dyDescent="0.45">
      <c r="B37" s="801" t="s">
        <v>1747</v>
      </c>
      <c r="C37" s="801"/>
      <c r="D37" s="802" t="s">
        <v>1725</v>
      </c>
      <c r="E37" s="803"/>
      <c r="F37" s="591" t="s">
        <v>1597</v>
      </c>
      <c r="G37" s="596">
        <f t="shared" si="3"/>
        <v>2</v>
      </c>
      <c r="H37" s="804" t="str">
        <f t="shared" si="5"/>
        <v>Sancionatória - Multa nos termos do artigo 29º, nº 1, alínea g) da Lei nº 13/10, de 9 de Julho.</v>
      </c>
      <c r="I37" s="804"/>
      <c r="K37" s="2"/>
      <c r="L37" s="27" t="str">
        <f t="shared" si="4"/>
        <v>2</v>
      </c>
      <c r="M37" s="27"/>
      <c r="N37" s="27">
        <f t="shared" si="6"/>
        <v>2</v>
      </c>
      <c r="O37" s="27" t="s">
        <v>1598</v>
      </c>
      <c r="P37" s="27">
        <v>3</v>
      </c>
      <c r="Q37" s="27"/>
      <c r="R37" s="27"/>
      <c r="S37" s="27"/>
      <c r="T37" s="27"/>
      <c r="U37" s="127">
        <f t="shared" si="7"/>
        <v>3.7037037037037033</v>
      </c>
      <c r="V37" s="27">
        <f>W37*100%</f>
        <v>1</v>
      </c>
      <c r="W37" s="128">
        <f>C9</f>
        <v>1</v>
      </c>
      <c r="X37" s="27" t="s">
        <v>1575</v>
      </c>
      <c r="Y37" s="27" t="str">
        <f>E9</f>
        <v>3 - Não em Termos - A Conta não está em Termos e deve constar do programa de auditorias para o ano seguinte e seguir para contraditório.</v>
      </c>
      <c r="Z37" s="27" t="str">
        <f>ROUND(U37,2)&amp;"%"</f>
        <v>3,7%</v>
      </c>
      <c r="AA37" s="27"/>
      <c r="AB37" s="27"/>
      <c r="AC37" s="27"/>
    </row>
    <row r="38" spans="2:29" ht="30" customHeight="1" x14ac:dyDescent="0.45">
      <c r="B38" s="835" t="s">
        <v>1748</v>
      </c>
      <c r="C38" s="835"/>
      <c r="D38" s="802" t="s">
        <v>1726</v>
      </c>
      <c r="E38" s="803"/>
      <c r="F38" s="591" t="str">
        <f>G29</f>
        <v>Grave</v>
      </c>
      <c r="G38" s="596">
        <f t="shared" si="3"/>
        <v>2</v>
      </c>
      <c r="H38" s="804" t="str">
        <f t="shared" si="5"/>
        <v>Sancionatória - Multa nos termos do artigo 29º, nº 1, alínea g) da Lei nº 13/10, de 9 de Julho.</v>
      </c>
      <c r="I38" s="804"/>
      <c r="K38" s="2"/>
      <c r="L38" s="27" t="str">
        <f t="shared" si="4"/>
        <v>2</v>
      </c>
      <c r="M38" s="27"/>
      <c r="N38" s="27">
        <f t="shared" si="6"/>
        <v>2</v>
      </c>
      <c r="O38" s="27"/>
      <c r="P38" s="27"/>
      <c r="Q38" s="27"/>
      <c r="R38" s="27"/>
      <c r="S38" s="27"/>
      <c r="T38" s="27"/>
      <c r="U38" s="127">
        <f>SUM(U35:U37)</f>
        <v>100.00000000000001</v>
      </c>
      <c r="V38" s="27">
        <f>SUM(V34:V37)</f>
        <v>27</v>
      </c>
      <c r="W38" s="128"/>
      <c r="X38" s="27"/>
      <c r="Y38" s="27"/>
      <c r="Z38" s="27"/>
      <c r="AA38" s="27"/>
      <c r="AB38" s="27"/>
      <c r="AC38" s="27"/>
    </row>
    <row r="39" spans="2:29" ht="30" customHeight="1" x14ac:dyDescent="0.45">
      <c r="B39" s="835" t="s">
        <v>1749</v>
      </c>
      <c r="C39" s="835"/>
      <c r="D39" s="809" t="s">
        <v>1727</v>
      </c>
      <c r="E39" s="810"/>
      <c r="F39" s="591" t="s">
        <v>1596</v>
      </c>
      <c r="G39" s="596">
        <f t="shared" si="3"/>
        <v>1</v>
      </c>
      <c r="H39" s="804" t="str">
        <f t="shared" si="5"/>
        <v/>
      </c>
      <c r="I39" s="804"/>
      <c r="K39" s="2"/>
      <c r="L39" s="27" t="str">
        <f t="shared" si="4"/>
        <v>1</v>
      </c>
      <c r="M39" s="27"/>
      <c r="N39" s="27">
        <f t="shared" si="6"/>
        <v>1</v>
      </c>
      <c r="O39" s="27"/>
      <c r="P39" s="27"/>
      <c r="Q39" s="27"/>
      <c r="R39" s="27"/>
      <c r="S39" s="27"/>
      <c r="T39" s="27"/>
      <c r="U39" s="127"/>
      <c r="V39" s="27"/>
      <c r="W39" s="128"/>
      <c r="X39" s="27"/>
      <c r="Y39" s="27"/>
      <c r="Z39" s="27"/>
      <c r="AA39" s="27"/>
      <c r="AB39" s="27"/>
      <c r="AC39" s="27"/>
    </row>
    <row r="40" spans="2:29" ht="30" customHeight="1" x14ac:dyDescent="0.45">
      <c r="B40" s="801" t="s">
        <v>1750</v>
      </c>
      <c r="C40" s="801"/>
      <c r="D40" s="809" t="s">
        <v>1727</v>
      </c>
      <c r="E40" s="810"/>
      <c r="F40" s="591" t="s">
        <v>1597</v>
      </c>
      <c r="G40" s="596">
        <f t="shared" si="3"/>
        <v>2</v>
      </c>
      <c r="H40" s="804" t="str">
        <f t="shared" si="5"/>
        <v>Sancionatória - Multa nos termos do artigo 29º, nº 1, alínea g) da Lei nº 13/10, de 9 de Julho.</v>
      </c>
      <c r="I40" s="804"/>
      <c r="K40" s="2"/>
      <c r="L40" s="27" t="str">
        <f t="shared" si="4"/>
        <v>2</v>
      </c>
      <c r="M40" s="27"/>
      <c r="N40" s="27">
        <f t="shared" si="6"/>
        <v>2</v>
      </c>
      <c r="O40" s="27"/>
      <c r="P40" s="27"/>
      <c r="Q40" s="27"/>
      <c r="R40" s="27"/>
      <c r="S40" s="27"/>
      <c r="T40" s="27"/>
      <c r="U40" s="127"/>
      <c r="V40" s="27"/>
      <c r="W40" s="128"/>
      <c r="X40" s="27"/>
      <c r="Y40" s="27"/>
      <c r="Z40" s="27"/>
      <c r="AA40" s="27"/>
      <c r="AB40" s="27"/>
      <c r="AC40" s="27"/>
    </row>
    <row r="41" spans="2:29" ht="30" customHeight="1" x14ac:dyDescent="0.45">
      <c r="B41" s="801" t="s">
        <v>1751</v>
      </c>
      <c r="C41" s="801"/>
      <c r="D41" s="802" t="s">
        <v>1728</v>
      </c>
      <c r="E41" s="803"/>
      <c r="F41" s="591" t="str">
        <f>G29</f>
        <v>Grave</v>
      </c>
      <c r="G41" s="596">
        <f t="shared" si="3"/>
        <v>2</v>
      </c>
      <c r="H41" s="804" t="str">
        <f t="shared" si="5"/>
        <v>Sancionatória - Multa nos termos do artigo 29º, nº 1, alínea g) da Lei nº 13/10, de 9 de Julho.</v>
      </c>
      <c r="I41" s="804"/>
      <c r="K41" s="2"/>
      <c r="L41" s="27" t="str">
        <f t="shared" si="4"/>
        <v>2</v>
      </c>
      <c r="M41" s="27"/>
      <c r="N41" s="27">
        <f t="shared" si="6"/>
        <v>2</v>
      </c>
      <c r="O41" s="27"/>
      <c r="P41" s="27"/>
      <c r="Q41" s="27"/>
      <c r="R41" s="27"/>
      <c r="S41" s="27"/>
      <c r="T41" s="27"/>
      <c r="U41" s="127"/>
      <c r="V41" s="27"/>
      <c r="W41" s="128"/>
      <c r="X41" s="27"/>
      <c r="Y41" s="27"/>
      <c r="Z41" s="27"/>
      <c r="AA41" s="27"/>
      <c r="AB41" s="27"/>
      <c r="AC41" s="27"/>
    </row>
    <row r="42" spans="2:29" ht="30" customHeight="1" x14ac:dyDescent="0.45">
      <c r="B42" s="801" t="s">
        <v>1752</v>
      </c>
      <c r="C42" s="801"/>
      <c r="D42" s="802" t="s">
        <v>1729</v>
      </c>
      <c r="E42" s="803"/>
      <c r="F42" s="591" t="s">
        <v>1596</v>
      </c>
      <c r="G42" s="596">
        <f t="shared" si="3"/>
        <v>1</v>
      </c>
      <c r="H42" s="804" t="str">
        <f t="shared" si="5"/>
        <v/>
      </c>
      <c r="I42" s="804"/>
      <c r="K42" s="2"/>
      <c r="L42" s="27" t="str">
        <f t="shared" si="4"/>
        <v>1</v>
      </c>
      <c r="M42" s="27"/>
      <c r="N42" s="27">
        <f t="shared" si="6"/>
        <v>1</v>
      </c>
      <c r="O42" s="27"/>
      <c r="P42" s="27"/>
      <c r="Q42" s="27"/>
      <c r="R42" s="27"/>
      <c r="S42" s="27"/>
      <c r="T42" s="27"/>
      <c r="U42" s="127"/>
      <c r="V42" s="27"/>
      <c r="W42" s="27"/>
      <c r="X42" s="27"/>
      <c r="Y42" s="27"/>
      <c r="Z42" s="27"/>
      <c r="AA42" s="27"/>
      <c r="AB42" s="27"/>
      <c r="AC42" s="27"/>
    </row>
    <row r="43" spans="2:29" ht="30" customHeight="1" x14ac:dyDescent="0.45">
      <c r="B43" s="835" t="s">
        <v>1753</v>
      </c>
      <c r="C43" s="835"/>
      <c r="D43" s="802" t="s">
        <v>1730</v>
      </c>
      <c r="E43" s="803"/>
      <c r="F43" s="591" t="s">
        <v>1597</v>
      </c>
      <c r="G43" s="596">
        <f t="shared" si="3"/>
        <v>2</v>
      </c>
      <c r="H43" s="804" t="str">
        <f t="shared" si="5"/>
        <v>Sancionatória - Multa nos termos do artigo 29º, nº 1, alínea g) da Lei nº 13/10, de 9 de Julho.</v>
      </c>
      <c r="I43" s="804"/>
      <c r="K43" s="2"/>
      <c r="L43" s="27" t="str">
        <f t="shared" si="4"/>
        <v>2</v>
      </c>
      <c r="M43" s="27"/>
      <c r="N43" s="27">
        <f t="shared" si="6"/>
        <v>2</v>
      </c>
      <c r="O43" s="27"/>
      <c r="P43" s="27"/>
      <c r="Q43" s="27"/>
      <c r="R43" s="27"/>
      <c r="S43" s="27"/>
      <c r="T43" s="27"/>
      <c r="U43" s="127"/>
      <c r="V43" s="27"/>
      <c r="W43" s="27"/>
      <c r="X43" s="27"/>
      <c r="Y43" s="27"/>
      <c r="Z43" s="27"/>
      <c r="AA43" s="27"/>
      <c r="AB43" s="27"/>
      <c r="AC43" s="27"/>
    </row>
    <row r="44" spans="2:29" ht="30" customHeight="1" x14ac:dyDescent="0.45">
      <c r="B44" s="835" t="s">
        <v>1754</v>
      </c>
      <c r="C44" s="835"/>
      <c r="D44" s="802" t="s">
        <v>1731</v>
      </c>
      <c r="E44" s="803"/>
      <c r="F44" s="591" t="s">
        <v>1596</v>
      </c>
      <c r="G44" s="596">
        <f t="shared" si="3"/>
        <v>1</v>
      </c>
      <c r="H44" s="804" t="str">
        <f t="shared" si="5"/>
        <v/>
      </c>
      <c r="I44" s="804"/>
      <c r="K44" s="2"/>
      <c r="L44" s="27" t="str">
        <f t="shared" si="4"/>
        <v>1</v>
      </c>
      <c r="M44" s="27"/>
      <c r="N44" s="27">
        <f t="shared" si="6"/>
        <v>1</v>
      </c>
      <c r="O44" s="27"/>
      <c r="P44" s="27"/>
      <c r="Q44" s="27"/>
      <c r="R44" s="27"/>
      <c r="S44" s="27"/>
      <c r="T44" s="27"/>
      <c r="U44" s="127"/>
      <c r="V44" s="27"/>
      <c r="W44" s="27"/>
      <c r="X44" s="27"/>
      <c r="Y44" s="27"/>
      <c r="Z44" s="2"/>
      <c r="AA44" s="2"/>
      <c r="AB44" s="2"/>
      <c r="AC44" s="2"/>
    </row>
    <row r="45" spans="2:29" ht="30" customHeight="1" x14ac:dyDescent="0.45">
      <c r="B45" s="835" t="s">
        <v>1755</v>
      </c>
      <c r="C45" s="835"/>
      <c r="D45" s="802" t="s">
        <v>1732</v>
      </c>
      <c r="E45" s="803"/>
      <c r="F45" s="591" t="s">
        <v>1597</v>
      </c>
      <c r="G45" s="596">
        <f t="shared" si="3"/>
        <v>2</v>
      </c>
      <c r="H45" s="804" t="str">
        <f t="shared" si="5"/>
        <v>Sancionatória - Multa nos termos do artigo 29º, nº 1, alínea g) da Lei nº 13/10, de 9 de Julho.</v>
      </c>
      <c r="I45" s="804"/>
      <c r="K45" s="2"/>
      <c r="L45" s="27" t="str">
        <f t="shared" si="4"/>
        <v>2</v>
      </c>
      <c r="M45" s="27"/>
      <c r="N45" s="27">
        <f t="shared" si="6"/>
        <v>2</v>
      </c>
      <c r="O45" s="27"/>
      <c r="P45" s="27"/>
      <c r="Q45" s="27"/>
      <c r="R45" s="27"/>
      <c r="S45" s="27"/>
      <c r="T45" s="27"/>
      <c r="U45" s="127"/>
      <c r="V45" s="27"/>
      <c r="W45" s="27"/>
      <c r="X45" s="27"/>
      <c r="Y45" s="27"/>
      <c r="Z45" s="2"/>
      <c r="AA45" s="2"/>
      <c r="AB45" s="2"/>
      <c r="AC45" s="2"/>
    </row>
    <row r="46" spans="2:29" ht="30" customHeight="1" x14ac:dyDescent="0.45">
      <c r="B46" s="835" t="s">
        <v>1756</v>
      </c>
      <c r="C46" s="835"/>
      <c r="D46" s="802" t="s">
        <v>1733</v>
      </c>
      <c r="E46" s="803"/>
      <c r="F46" s="591" t="s">
        <v>1596</v>
      </c>
      <c r="G46" s="596">
        <f t="shared" si="3"/>
        <v>1</v>
      </c>
      <c r="H46" s="804" t="str">
        <f t="shared" si="5"/>
        <v/>
      </c>
      <c r="I46" s="804"/>
      <c r="K46" s="2"/>
      <c r="L46" s="27" t="str">
        <f t="shared" si="4"/>
        <v>1</v>
      </c>
      <c r="M46" s="27"/>
      <c r="N46" s="27">
        <f t="shared" si="6"/>
        <v>1</v>
      </c>
      <c r="O46" s="27"/>
      <c r="P46" s="27"/>
      <c r="Q46" s="27"/>
      <c r="R46" s="27"/>
      <c r="S46" s="27"/>
      <c r="T46" s="27"/>
      <c r="U46" s="127"/>
      <c r="V46" s="27"/>
      <c r="W46" s="27"/>
      <c r="X46" s="27"/>
      <c r="Y46" s="27"/>
      <c r="Z46" s="2"/>
      <c r="AA46" s="2"/>
      <c r="AB46" s="2"/>
      <c r="AC46" s="2"/>
    </row>
    <row r="47" spans="2:29" ht="30" customHeight="1" x14ac:dyDescent="0.45">
      <c r="B47" s="801" t="s">
        <v>1757</v>
      </c>
      <c r="C47" s="801"/>
      <c r="D47" s="802" t="s">
        <v>1734</v>
      </c>
      <c r="E47" s="803"/>
      <c r="F47" s="591" t="s">
        <v>1597</v>
      </c>
      <c r="G47" s="596">
        <f t="shared" si="3"/>
        <v>2</v>
      </c>
      <c r="H47" s="804" t="str">
        <f t="shared" si="5"/>
        <v>Sancionatória - Multa nos termos do artigo 29º, nº 1, alínea g) da Lei nº 13/10, de 9 de Julho.</v>
      </c>
      <c r="I47" s="804"/>
      <c r="K47" s="2"/>
      <c r="L47" s="27" t="str">
        <f t="shared" si="4"/>
        <v>2</v>
      </c>
      <c r="M47" s="27"/>
      <c r="N47" s="27">
        <f t="shared" si="6"/>
        <v>2</v>
      </c>
      <c r="O47" s="27"/>
      <c r="P47" s="27"/>
      <c r="Q47" s="27"/>
      <c r="R47" s="27"/>
      <c r="S47" s="27"/>
      <c r="T47" s="27"/>
      <c r="U47" s="127"/>
      <c r="V47" s="27"/>
      <c r="W47" s="27"/>
      <c r="X47" s="27"/>
      <c r="Y47" s="27"/>
      <c r="Z47" s="2"/>
      <c r="AA47" s="2"/>
      <c r="AB47" s="2"/>
      <c r="AC47" s="2"/>
    </row>
    <row r="48" spans="2:29" ht="30" customHeight="1" x14ac:dyDescent="0.45">
      <c r="B48" s="801" t="s">
        <v>1758</v>
      </c>
      <c r="C48" s="801"/>
      <c r="D48" s="802" t="s">
        <v>1735</v>
      </c>
      <c r="E48" s="803"/>
      <c r="F48" s="591" t="s">
        <v>1596</v>
      </c>
      <c r="G48" s="596">
        <f t="shared" si="3"/>
        <v>1</v>
      </c>
      <c r="H48" s="804" t="str">
        <f t="shared" si="5"/>
        <v/>
      </c>
      <c r="I48" s="804"/>
      <c r="K48" s="2"/>
      <c r="L48" s="27" t="str">
        <f t="shared" si="4"/>
        <v>1</v>
      </c>
      <c r="M48" s="27"/>
      <c r="N48" s="27">
        <f t="shared" si="6"/>
        <v>1</v>
      </c>
      <c r="O48" s="27"/>
      <c r="P48" s="27"/>
      <c r="Q48" s="27"/>
      <c r="R48" s="27"/>
      <c r="S48" s="27"/>
      <c r="T48" s="27"/>
      <c r="U48" s="127"/>
      <c r="V48" s="27"/>
      <c r="W48" s="27"/>
      <c r="X48" s="27"/>
      <c r="Y48" s="27"/>
      <c r="Z48" s="2"/>
      <c r="AA48" s="2"/>
      <c r="AB48" s="2"/>
      <c r="AC48" s="2"/>
    </row>
    <row r="49" spans="2:29" ht="30" customHeight="1" x14ac:dyDescent="0.45">
      <c r="B49" s="801" t="s">
        <v>1759</v>
      </c>
      <c r="C49" s="801"/>
      <c r="D49" s="802" t="s">
        <v>1736</v>
      </c>
      <c r="E49" s="803"/>
      <c r="F49" s="591" t="s">
        <v>1597</v>
      </c>
      <c r="G49" s="596">
        <f t="shared" si="3"/>
        <v>2</v>
      </c>
      <c r="H49" s="804" t="str">
        <f t="shared" si="5"/>
        <v>Sancionatória - Multa nos termos do artigo 29º, nº 1, alínea g) da Lei nº 13/10, de 9 de Julho.</v>
      </c>
      <c r="I49" s="804"/>
      <c r="K49" s="2"/>
      <c r="L49" s="27" t="str">
        <f t="shared" si="4"/>
        <v>2</v>
      </c>
      <c r="M49" s="27"/>
      <c r="N49" s="27">
        <f t="shared" si="6"/>
        <v>2</v>
      </c>
      <c r="O49" s="27"/>
      <c r="P49" s="27"/>
      <c r="Q49" s="27"/>
      <c r="R49" s="27"/>
      <c r="S49" s="27"/>
      <c r="T49" s="27"/>
      <c r="U49" s="127"/>
      <c r="V49" s="27"/>
      <c r="W49" s="27"/>
      <c r="X49" s="27"/>
      <c r="Y49" s="27"/>
      <c r="Z49" s="2"/>
      <c r="AA49" s="2"/>
      <c r="AB49" s="2"/>
      <c r="AC49" s="2"/>
    </row>
    <row r="50" spans="2:29" ht="30" customHeight="1" x14ac:dyDescent="0.45">
      <c r="B50" s="801" t="s">
        <v>1760</v>
      </c>
      <c r="C50" s="801"/>
      <c r="D50" s="802" t="s">
        <v>1737</v>
      </c>
      <c r="E50" s="803"/>
      <c r="F50" s="591" t="s">
        <v>1596</v>
      </c>
      <c r="G50" s="596">
        <f t="shared" si="3"/>
        <v>1</v>
      </c>
      <c r="H50" s="804" t="str">
        <f t="shared" si="5"/>
        <v/>
      </c>
      <c r="I50" s="804"/>
      <c r="K50" s="2"/>
      <c r="L50" s="27" t="str">
        <f t="shared" si="4"/>
        <v>1</v>
      </c>
      <c r="M50" s="27"/>
      <c r="N50" s="27">
        <f t="shared" si="6"/>
        <v>1</v>
      </c>
      <c r="O50" s="27"/>
      <c r="P50" s="27"/>
      <c r="Q50" s="27"/>
      <c r="R50" s="27"/>
      <c r="S50" s="27"/>
      <c r="T50" s="27"/>
      <c r="U50" s="127"/>
      <c r="V50" s="27"/>
      <c r="W50" s="27"/>
      <c r="X50" s="27"/>
      <c r="Y50" s="27"/>
      <c r="Z50" s="2"/>
      <c r="AA50" s="2"/>
      <c r="AB50" s="2"/>
      <c r="AC50" s="2"/>
    </row>
    <row r="51" spans="2:29" ht="30" customHeight="1" x14ac:dyDescent="0.45">
      <c r="B51" s="801" t="s">
        <v>1761</v>
      </c>
      <c r="C51" s="801"/>
      <c r="D51" s="802" t="s">
        <v>1738</v>
      </c>
      <c r="E51" s="803"/>
      <c r="F51" s="591" t="s">
        <v>1597</v>
      </c>
      <c r="G51" s="596">
        <f t="shared" si="3"/>
        <v>2</v>
      </c>
      <c r="H51" s="804" t="str">
        <f t="shared" si="5"/>
        <v>Sancionatória - Multa nos termos do artigo 29º, nº 1, alínea g) da Lei nº 13/10, de 9 de Julho.</v>
      </c>
      <c r="I51" s="804"/>
      <c r="K51" s="2"/>
      <c r="L51" s="27" t="str">
        <f t="shared" si="4"/>
        <v>2</v>
      </c>
      <c r="M51" s="27"/>
      <c r="N51" s="27">
        <f t="shared" si="6"/>
        <v>2</v>
      </c>
      <c r="O51" s="27"/>
      <c r="P51" s="27"/>
      <c r="Q51" s="27"/>
      <c r="R51" s="27"/>
      <c r="S51" s="27"/>
      <c r="T51" s="27"/>
      <c r="U51" s="127"/>
      <c r="V51" s="27"/>
      <c r="W51" s="27"/>
      <c r="X51" s="27"/>
      <c r="Y51" s="27"/>
      <c r="Z51" s="2"/>
      <c r="AA51" s="2"/>
      <c r="AB51" s="2"/>
      <c r="AC51" s="2"/>
    </row>
    <row r="52" spans="2:29" ht="30" customHeight="1" x14ac:dyDescent="0.45">
      <c r="B52" s="801" t="s">
        <v>1762</v>
      </c>
      <c r="C52" s="801"/>
      <c r="D52" s="802" t="s">
        <v>1739</v>
      </c>
      <c r="E52" s="803"/>
      <c r="F52" s="591" t="s">
        <v>1596</v>
      </c>
      <c r="G52" s="596">
        <f t="shared" si="3"/>
        <v>1</v>
      </c>
      <c r="H52" s="804" t="str">
        <f t="shared" si="5"/>
        <v/>
      </c>
      <c r="I52" s="804"/>
      <c r="K52" s="2"/>
      <c r="L52" s="27" t="str">
        <f t="shared" si="4"/>
        <v>1</v>
      </c>
      <c r="M52" s="27"/>
      <c r="N52" s="27">
        <f t="shared" si="6"/>
        <v>1</v>
      </c>
      <c r="O52" s="27"/>
      <c r="P52" s="27"/>
      <c r="Q52" s="27"/>
      <c r="R52" s="27"/>
      <c r="S52" s="27"/>
      <c r="T52" s="27"/>
      <c r="U52" s="127"/>
      <c r="V52" s="27"/>
      <c r="W52" s="27"/>
      <c r="X52" s="27"/>
      <c r="Y52" s="27"/>
      <c r="Z52" s="2"/>
      <c r="AA52" s="2"/>
      <c r="AB52" s="2"/>
      <c r="AC52" s="2"/>
    </row>
    <row r="53" spans="2:29" ht="30" customHeight="1" x14ac:dyDescent="0.45">
      <c r="B53" s="801" t="s">
        <v>1763</v>
      </c>
      <c r="C53" s="801"/>
      <c r="D53" s="802" t="s">
        <v>1740</v>
      </c>
      <c r="E53" s="803"/>
      <c r="F53" s="591" t="s">
        <v>1596</v>
      </c>
      <c r="G53" s="596">
        <f t="shared" si="3"/>
        <v>1</v>
      </c>
      <c r="H53" s="804" t="str">
        <f t="shared" si="5"/>
        <v/>
      </c>
      <c r="I53" s="804"/>
      <c r="K53" s="2"/>
      <c r="L53" s="27" t="str">
        <f t="shared" si="4"/>
        <v>1</v>
      </c>
      <c r="M53" s="27"/>
      <c r="N53" s="27">
        <f t="shared" si="6"/>
        <v>1</v>
      </c>
      <c r="O53" s="27"/>
      <c r="P53" s="27"/>
      <c r="Q53" s="27"/>
      <c r="R53" s="27"/>
      <c r="S53" s="27"/>
      <c r="T53" s="27"/>
      <c r="U53" s="127"/>
      <c r="V53" s="27"/>
      <c r="W53" s="27"/>
      <c r="X53" s="27"/>
      <c r="Y53" s="27"/>
      <c r="Z53" s="2"/>
      <c r="AA53" s="2"/>
      <c r="AB53" s="2"/>
      <c r="AC53" s="2"/>
    </row>
    <row r="54" spans="2:29" ht="30" customHeight="1" x14ac:dyDescent="0.45">
      <c r="B54" s="801" t="s">
        <v>1764</v>
      </c>
      <c r="C54" s="801"/>
      <c r="D54" s="802" t="s">
        <v>1741</v>
      </c>
      <c r="E54" s="803"/>
      <c r="F54" s="591" t="s">
        <v>1597</v>
      </c>
      <c r="G54" s="596">
        <f t="shared" si="3"/>
        <v>2</v>
      </c>
      <c r="H54" s="804" t="str">
        <f t="shared" si="5"/>
        <v>Sancionatória - Multa nos termos do artigo 29º, nº 1, alínea g) da Lei nº 13/10, de 9 de Julho.</v>
      </c>
      <c r="I54" s="804"/>
      <c r="L54" s="27" t="str">
        <f t="shared" si="4"/>
        <v>2</v>
      </c>
      <c r="N54" s="27">
        <f t="shared" si="6"/>
        <v>2</v>
      </c>
      <c r="U54" s="127"/>
      <c r="V54" s="27"/>
    </row>
    <row r="55" spans="2:29" ht="30" customHeight="1" x14ac:dyDescent="0.45">
      <c r="B55" s="801" t="s">
        <v>1765</v>
      </c>
      <c r="C55" s="801"/>
      <c r="D55" s="802" t="s">
        <v>1742</v>
      </c>
      <c r="E55" s="803"/>
      <c r="F55" s="591" t="s">
        <v>1596</v>
      </c>
      <c r="G55" s="596">
        <f t="shared" si="3"/>
        <v>1</v>
      </c>
      <c r="H55" s="804" t="str">
        <f t="shared" si="5"/>
        <v/>
      </c>
      <c r="I55" s="804"/>
      <c r="L55" s="27" t="str">
        <f t="shared" si="4"/>
        <v>1</v>
      </c>
      <c r="N55" s="27">
        <f t="shared" si="6"/>
        <v>1</v>
      </c>
      <c r="U55" s="127"/>
      <c r="V55" s="27"/>
    </row>
    <row r="56" spans="2:29" ht="30" customHeight="1" x14ac:dyDescent="0.45">
      <c r="B56" s="801" t="s">
        <v>1766</v>
      </c>
      <c r="C56" s="801"/>
      <c r="D56" s="802" t="s">
        <v>1742</v>
      </c>
      <c r="E56" s="803"/>
      <c r="F56" s="591" t="s">
        <v>1596</v>
      </c>
      <c r="G56" s="596">
        <f t="shared" si="3"/>
        <v>1</v>
      </c>
      <c r="H56" s="804" t="str">
        <f t="shared" si="5"/>
        <v/>
      </c>
      <c r="I56" s="804"/>
      <c r="L56" s="27" t="str">
        <f t="shared" si="4"/>
        <v>1</v>
      </c>
      <c r="N56" s="27">
        <f t="shared" si="6"/>
        <v>1</v>
      </c>
      <c r="U56" s="127"/>
      <c r="V56" s="27"/>
    </row>
    <row r="57" spans="2:29" ht="30" customHeight="1" x14ac:dyDescent="0.45">
      <c r="B57" s="801" t="s">
        <v>1767</v>
      </c>
      <c r="C57" s="801"/>
      <c r="D57" s="802" t="s">
        <v>1742</v>
      </c>
      <c r="E57" s="803"/>
      <c r="F57" s="591" t="s">
        <v>1597</v>
      </c>
      <c r="G57" s="596">
        <f t="shared" si="3"/>
        <v>2</v>
      </c>
      <c r="H57" s="804" t="str">
        <f t="shared" si="5"/>
        <v>Sancionatória - Multa nos termos do artigo 29º, nº 1, alínea g) da Lei nº 13/10, de 9 de Julho.</v>
      </c>
      <c r="I57" s="804"/>
      <c r="L57" s="27" t="str">
        <f t="shared" si="4"/>
        <v>2</v>
      </c>
      <c r="N57" s="27">
        <f t="shared" si="6"/>
        <v>2</v>
      </c>
      <c r="U57" s="127"/>
      <c r="V57" s="27"/>
    </row>
    <row r="58" spans="2:29" ht="30" customHeight="1" x14ac:dyDescent="0.45">
      <c r="B58" s="801" t="s">
        <v>1768</v>
      </c>
      <c r="C58" s="801"/>
      <c r="D58" s="802" t="s">
        <v>1743</v>
      </c>
      <c r="E58" s="803"/>
      <c r="F58" s="591" t="s">
        <v>1597</v>
      </c>
      <c r="G58" s="596">
        <f t="shared" si="3"/>
        <v>2</v>
      </c>
      <c r="H58" s="804" t="str">
        <f t="shared" si="5"/>
        <v>Sancionatória - Multa nos termos do artigo 29º, nº 1, alínea g) da Lei nº 13/10, de 9 de Julho.</v>
      </c>
      <c r="I58" s="804"/>
      <c r="L58" s="27" t="str">
        <f t="shared" si="4"/>
        <v>2</v>
      </c>
      <c r="N58" s="27">
        <f t="shared" si="6"/>
        <v>2</v>
      </c>
      <c r="U58" s="127"/>
      <c r="V58" s="27"/>
    </row>
    <row r="59" spans="2:29" ht="30" customHeight="1" x14ac:dyDescent="0.45">
      <c r="B59" s="801" t="s">
        <v>1769</v>
      </c>
      <c r="C59" s="801"/>
      <c r="D59" s="802" t="s">
        <v>1743</v>
      </c>
      <c r="E59" s="803"/>
      <c r="F59" s="591" t="s">
        <v>1598</v>
      </c>
      <c r="G59" s="596">
        <f t="shared" si="3"/>
        <v>3</v>
      </c>
      <c r="H59" s="804" t="str">
        <f t="shared" si="5"/>
        <v>Sancionatória - Multa nos termos do artigo 29º, nº 1, alínea g) da Lei nº 13/10, de 9 de Julho.</v>
      </c>
      <c r="I59" s="804"/>
      <c r="L59" s="27" t="str">
        <f t="shared" si="4"/>
        <v>3</v>
      </c>
      <c r="N59" s="27">
        <f t="shared" si="6"/>
        <v>3</v>
      </c>
      <c r="U59" s="127"/>
      <c r="V59" s="27"/>
    </row>
    <row r="60" spans="2:29" ht="30" customHeight="1" x14ac:dyDescent="0.45">
      <c r="B60" s="801" t="s">
        <v>1770</v>
      </c>
      <c r="C60" s="801"/>
      <c r="D60" s="802" t="s">
        <v>1744</v>
      </c>
      <c r="E60" s="803"/>
      <c r="F60" s="591" t="s">
        <v>1597</v>
      </c>
      <c r="G60" s="596">
        <f t="shared" si="3"/>
        <v>2</v>
      </c>
      <c r="H60" s="804" t="str">
        <f t="shared" si="5"/>
        <v>Sancionatória - Multa nos termos do artigo 29º, nº 1, alínea g) da Lei nº 13/10, de 9 de Julho.</v>
      </c>
      <c r="I60" s="804"/>
      <c r="L60" s="27" t="str">
        <f t="shared" si="4"/>
        <v>2</v>
      </c>
      <c r="N60" s="27">
        <f t="shared" si="6"/>
        <v>2</v>
      </c>
      <c r="U60" s="127"/>
      <c r="V60" s="27"/>
    </row>
    <row r="61" spans="2:29" ht="30" customHeight="1" x14ac:dyDescent="0.45">
      <c r="B61" s="836" t="s">
        <v>1772</v>
      </c>
      <c r="C61" s="837"/>
      <c r="D61" s="809"/>
      <c r="E61" s="810"/>
      <c r="F61" s="591" t="str">
        <f>G29</f>
        <v>Grave</v>
      </c>
      <c r="G61" s="596">
        <f t="shared" si="3"/>
        <v>2</v>
      </c>
      <c r="H61" s="804" t="str">
        <f t="shared" si="5"/>
        <v>Sancionatória - Multa nos termos do artigo 29º, nº 1, alínea g) da Lei nº 13/10, de 9 de Julho.</v>
      </c>
      <c r="I61" s="804"/>
      <c r="L61" s="27" t="str">
        <f t="shared" si="4"/>
        <v>2</v>
      </c>
      <c r="N61" s="27">
        <f t="shared" si="6"/>
        <v>2</v>
      </c>
      <c r="U61" s="592"/>
    </row>
    <row r="62" spans="2:29" ht="18.5" x14ac:dyDescent="0.45">
      <c r="B62" s="593" t="s">
        <v>1773</v>
      </c>
      <c r="C62" s="594"/>
      <c r="D62" s="158"/>
      <c r="E62" s="158"/>
      <c r="G62" s="597"/>
      <c r="H62" s="804" t="str">
        <f t="shared" si="5"/>
        <v/>
      </c>
      <c r="I62" s="804"/>
    </row>
    <row r="63" spans="2:29" ht="18.5" x14ac:dyDescent="0.45">
      <c r="B63" s="593" t="s">
        <v>1774</v>
      </c>
      <c r="C63" s="594"/>
      <c r="D63" s="158"/>
      <c r="E63" s="158"/>
      <c r="G63" s="597"/>
      <c r="H63" s="804" t="str">
        <f t="shared" si="5"/>
        <v/>
      </c>
      <c r="I63" s="804"/>
    </row>
    <row r="64" spans="2:29" ht="18.5" x14ac:dyDescent="0.45">
      <c r="B64" s="593" t="s">
        <v>1775</v>
      </c>
      <c r="C64" s="594"/>
      <c r="D64" s="158"/>
      <c r="E64" s="158"/>
      <c r="G64" s="597"/>
      <c r="H64" s="804" t="str">
        <f t="shared" si="5"/>
        <v/>
      </c>
      <c r="I64" s="804"/>
    </row>
    <row r="65" spans="2:9" ht="18.5" x14ac:dyDescent="0.45">
      <c r="B65" s="593"/>
      <c r="C65" s="594"/>
      <c r="D65" s="158"/>
      <c r="E65" s="158"/>
      <c r="G65" s="597"/>
      <c r="H65" s="804" t="str">
        <f t="shared" si="5"/>
        <v/>
      </c>
      <c r="I65" s="804"/>
    </row>
  </sheetData>
  <mergeCells count="100">
    <mergeCell ref="H64:I64"/>
    <mergeCell ref="H65:I65"/>
    <mergeCell ref="B60:C60"/>
    <mergeCell ref="D61:E61"/>
    <mergeCell ref="B61:C61"/>
    <mergeCell ref="D60:E60"/>
    <mergeCell ref="H63:I63"/>
    <mergeCell ref="B37:C37"/>
    <mergeCell ref="B38:C38"/>
    <mergeCell ref="B39:C39"/>
    <mergeCell ref="B40:C40"/>
    <mergeCell ref="B41:C41"/>
    <mergeCell ref="B49:C49"/>
    <mergeCell ref="B56:C56"/>
    <mergeCell ref="B57:C57"/>
    <mergeCell ref="B58:C58"/>
    <mergeCell ref="B59:C59"/>
    <mergeCell ref="B53:C53"/>
    <mergeCell ref="B54:C54"/>
    <mergeCell ref="B55:C55"/>
    <mergeCell ref="H59:I59"/>
    <mergeCell ref="H60:I60"/>
    <mergeCell ref="H61:I61"/>
    <mergeCell ref="H62:I62"/>
    <mergeCell ref="B42:C42"/>
    <mergeCell ref="B43:C43"/>
    <mergeCell ref="B44:C44"/>
    <mergeCell ref="B45:C45"/>
    <mergeCell ref="B46:C46"/>
    <mergeCell ref="B47:C47"/>
    <mergeCell ref="B48:C48"/>
    <mergeCell ref="H54:I54"/>
    <mergeCell ref="H55:I55"/>
    <mergeCell ref="H56:I56"/>
    <mergeCell ref="B51:C51"/>
    <mergeCell ref="B52:C52"/>
    <mergeCell ref="D50:E50"/>
    <mergeCell ref="D54:E54"/>
    <mergeCell ref="D53:E53"/>
    <mergeCell ref="D52:E52"/>
    <mergeCell ref="D51:E51"/>
    <mergeCell ref="H57:I57"/>
    <mergeCell ref="H58:I58"/>
    <mergeCell ref="H49:I49"/>
    <mergeCell ref="H50:I50"/>
    <mergeCell ref="H51:I51"/>
    <mergeCell ref="H52:I52"/>
    <mergeCell ref="H53:I53"/>
    <mergeCell ref="H33:I33"/>
    <mergeCell ref="H35:I35"/>
    <mergeCell ref="H37:I37"/>
    <mergeCell ref="H38:I38"/>
    <mergeCell ref="H39:I39"/>
    <mergeCell ref="H34:I34"/>
    <mergeCell ref="E8:H8"/>
    <mergeCell ref="E9:H9"/>
    <mergeCell ref="E10:H10"/>
    <mergeCell ref="B13:G13"/>
    <mergeCell ref="B2:C2"/>
    <mergeCell ref="D2:H2"/>
    <mergeCell ref="D4:H4"/>
    <mergeCell ref="E6:H6"/>
    <mergeCell ref="E7:H7"/>
    <mergeCell ref="E31:F31"/>
    <mergeCell ref="B32:G32"/>
    <mergeCell ref="B35:C35"/>
    <mergeCell ref="B33:C33"/>
    <mergeCell ref="B50:C50"/>
    <mergeCell ref="D33:E33"/>
    <mergeCell ref="D35:E35"/>
    <mergeCell ref="D44:E44"/>
    <mergeCell ref="D43:E43"/>
    <mergeCell ref="D42:E42"/>
    <mergeCell ref="D40:E40"/>
    <mergeCell ref="D39:E39"/>
    <mergeCell ref="D38:E38"/>
    <mergeCell ref="D37:E37"/>
    <mergeCell ref="D41:E41"/>
    <mergeCell ref="D49:E49"/>
    <mergeCell ref="D59:E59"/>
    <mergeCell ref="D58:E58"/>
    <mergeCell ref="D57:E57"/>
    <mergeCell ref="D56:E56"/>
    <mergeCell ref="D55:E55"/>
    <mergeCell ref="B36:C36"/>
    <mergeCell ref="D36:E36"/>
    <mergeCell ref="H36:I36"/>
    <mergeCell ref="D48:E48"/>
    <mergeCell ref="D47:E47"/>
    <mergeCell ref="D46:E46"/>
    <mergeCell ref="D45:E45"/>
    <mergeCell ref="H40:I40"/>
    <mergeCell ref="H41:I41"/>
    <mergeCell ref="H42:I42"/>
    <mergeCell ref="H43:I43"/>
    <mergeCell ref="H44:I44"/>
    <mergeCell ref="H45:I45"/>
    <mergeCell ref="H46:I46"/>
    <mergeCell ref="H47:I47"/>
    <mergeCell ref="H48:I48"/>
  </mergeCells>
  <phoneticPr fontId="24" type="noConversion"/>
  <conditionalFormatting sqref="B2:C2">
    <cfRule type="containsText" dxfId="14" priority="9" operator="containsText" text="Nível - 4">
      <formula>NOT(ISERROR(SEARCH("Nível - 4",B2)))</formula>
    </cfRule>
    <cfRule type="containsText" dxfId="13" priority="10" operator="containsText" text="Nível - 3">
      <formula>NOT(ISERROR(SEARCH("Nível - 3",B2)))</formula>
    </cfRule>
    <cfRule type="containsText" dxfId="12" priority="11" operator="containsText" text="Nível - 2">
      <formula>NOT(ISERROR(SEARCH("Nível - 2",B2)))</formula>
    </cfRule>
    <cfRule type="containsText" dxfId="11" priority="12" operator="containsText" text="Nível - 1">
      <formula>NOT(ISERROR(SEARCH("Nível - 1",B2)))</formula>
    </cfRule>
    <cfRule type="cellIs" dxfId="10" priority="17" operator="equal">
      <formula>$B$2</formula>
    </cfRule>
    <cfRule type="cellIs" dxfId="9" priority="18" operator="equal">
      <formula>$B$2</formula>
    </cfRule>
  </conditionalFormatting>
  <conditionalFormatting sqref="D2">
    <cfRule type="containsText" dxfId="8" priority="13" operator="containsText" text="4">
      <formula>NOT(ISERROR(SEARCH("4",D2)))</formula>
    </cfRule>
    <cfRule type="containsText" dxfId="7" priority="14" operator="containsText" text="3">
      <formula>NOT(ISERROR(SEARCH("3",D2)))</formula>
    </cfRule>
    <cfRule type="containsText" dxfId="6" priority="15" operator="containsText" text="2">
      <formula>NOT(ISERROR(SEARCH("2",D2)))</formula>
    </cfRule>
    <cfRule type="containsText" dxfId="5" priority="16" operator="containsText" text="1">
      <formula>NOT(ISERROR(SEARCH("1",D2)))</formula>
    </cfRule>
  </conditionalFormatting>
  <conditionalFormatting sqref="F35:F61">
    <cfRule type="expression" dxfId="4" priority="1">
      <formula>$F35="Muito Grave"</formula>
    </cfRule>
    <cfRule type="expression" dxfId="3" priority="2">
      <formula>$F35="Grave"</formula>
    </cfRule>
    <cfRule type="expression" dxfId="2" priority="3">
      <formula>$F35="Sem Gravidade"</formula>
    </cfRule>
    <cfRule type="expression" dxfId="1" priority="4">
      <formula>$F35="Pouco Grave"</formula>
    </cfRule>
  </conditionalFormatting>
  <conditionalFormatting sqref="K17:K22">
    <cfRule type="cellIs" dxfId="0" priority="5" operator="lessThan">
      <formula>0</formula>
    </cfRule>
  </conditionalFormatting>
  <dataValidations count="1">
    <dataValidation type="list" allowBlank="1" showInputMessage="1" showErrorMessage="1" sqref="F35:F60" xr:uid="{46965832-7811-493D-9059-B15A0D69F85E}">
      <formula1>"Sem Gravidade,Grave,Muito Grave"</formula1>
    </dataValidation>
  </dataValidations>
  <pageMargins left="0.7" right="0.7" top="0.75" bottom="0.75" header="0.3" footer="0.3"/>
  <pageSetup paperSize="9" scale="21" orientation="landscape" r:id="rId1"/>
  <drawing r:id="rId2"/>
  <tableParts count="1">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A93DA-B5A2-4065-B340-65CCBB13771C}">
  <dimension ref="B4:H54"/>
  <sheetViews>
    <sheetView workbookViewId="0">
      <selection activeCell="J41" sqref="J41"/>
    </sheetView>
  </sheetViews>
  <sheetFormatPr defaultColWidth="8.90625" defaultRowHeight="14.5" x14ac:dyDescent="0.35"/>
  <cols>
    <col min="1" max="1" width="4.1796875" customWidth="1"/>
    <col min="2" max="2" width="16.54296875" customWidth="1"/>
    <col min="3" max="3" width="59.453125" customWidth="1"/>
    <col min="4" max="7" width="20.453125" customWidth="1"/>
    <col min="8" max="8" width="21.36328125" customWidth="1"/>
  </cols>
  <sheetData>
    <row r="4" spans="2:8" ht="15.5" x14ac:dyDescent="0.35">
      <c r="D4" s="696" t="s">
        <v>1599</v>
      </c>
      <c r="E4" s="696"/>
      <c r="F4" s="696"/>
    </row>
    <row r="6" spans="2:8" ht="18.5" x14ac:dyDescent="0.45">
      <c r="B6" s="838" t="s">
        <v>1600</v>
      </c>
      <c r="C6" s="839" t="s">
        <v>1601</v>
      </c>
      <c r="D6" s="840" t="s">
        <v>1602</v>
      </c>
      <c r="E6" s="840"/>
      <c r="F6" s="840"/>
      <c r="G6" s="840"/>
      <c r="H6" s="558" t="s">
        <v>1603</v>
      </c>
    </row>
    <row r="7" spans="2:8" ht="18.5" x14ac:dyDescent="0.45">
      <c r="B7" s="838"/>
      <c r="C7" s="839"/>
      <c r="D7" s="559" t="s">
        <v>1037</v>
      </c>
      <c r="E7" s="559" t="s">
        <v>1604</v>
      </c>
      <c r="F7" s="559" t="s">
        <v>1605</v>
      </c>
      <c r="G7" s="559" t="s">
        <v>1253</v>
      </c>
      <c r="H7" s="560" t="s">
        <v>1253</v>
      </c>
    </row>
    <row r="8" spans="2:8" ht="15.5" x14ac:dyDescent="0.35">
      <c r="B8" s="561" t="s">
        <v>1606</v>
      </c>
      <c r="C8" s="562" t="s">
        <v>1607</v>
      </c>
      <c r="D8" s="563"/>
      <c r="E8" s="563"/>
      <c r="F8" s="563"/>
      <c r="G8" s="563"/>
      <c r="H8" s="564"/>
    </row>
    <row r="9" spans="2:8" x14ac:dyDescent="0.35">
      <c r="B9" s="565" t="s">
        <v>1608</v>
      </c>
      <c r="C9" s="16" t="s">
        <v>1609</v>
      </c>
      <c r="D9" s="566"/>
      <c r="E9" s="567"/>
      <c r="F9" s="567"/>
      <c r="G9" s="567"/>
      <c r="H9" s="156"/>
    </row>
    <row r="10" spans="2:8" x14ac:dyDescent="0.35">
      <c r="B10" s="565" t="s">
        <v>1610</v>
      </c>
      <c r="C10" s="16" t="s">
        <v>1611</v>
      </c>
      <c r="D10" s="567"/>
      <c r="E10" s="567"/>
      <c r="F10" s="567"/>
      <c r="G10" s="567"/>
      <c r="H10" s="156"/>
    </row>
    <row r="11" spans="2:8" x14ac:dyDescent="0.35">
      <c r="B11" s="565" t="s">
        <v>1612</v>
      </c>
      <c r="C11" s="16" t="s">
        <v>1613</v>
      </c>
      <c r="D11" s="567"/>
      <c r="E11" s="567"/>
      <c r="F11" s="567"/>
      <c r="G11" s="567"/>
      <c r="H11" s="156"/>
    </row>
    <row r="12" spans="2:8" x14ac:dyDescent="0.35">
      <c r="B12" s="565" t="s">
        <v>1614</v>
      </c>
      <c r="C12" s="16" t="s">
        <v>1615</v>
      </c>
      <c r="D12" s="567"/>
      <c r="E12" s="567"/>
      <c r="F12" s="567"/>
      <c r="G12" s="567"/>
      <c r="H12" s="156"/>
    </row>
    <row r="13" spans="2:8" x14ac:dyDescent="0.35">
      <c r="B13" s="568" t="s">
        <v>1616</v>
      </c>
      <c r="C13" s="16" t="s">
        <v>1617</v>
      </c>
      <c r="D13" s="567"/>
      <c r="E13" s="567"/>
      <c r="F13" s="567"/>
      <c r="G13" s="567"/>
      <c r="H13" s="156"/>
    </row>
    <row r="14" spans="2:8" x14ac:dyDescent="0.35">
      <c r="B14" s="568" t="s">
        <v>1618</v>
      </c>
      <c r="C14" s="16" t="s">
        <v>1619</v>
      </c>
      <c r="D14" s="567"/>
      <c r="E14" s="567"/>
      <c r="F14" s="567"/>
      <c r="G14" s="567"/>
      <c r="H14" s="156"/>
    </row>
    <row r="15" spans="2:8" x14ac:dyDescent="0.35">
      <c r="B15" s="568" t="s">
        <v>1620</v>
      </c>
      <c r="C15" s="16" t="s">
        <v>1621</v>
      </c>
      <c r="D15" s="567"/>
      <c r="E15" s="567"/>
      <c r="F15" s="567"/>
      <c r="G15" s="567"/>
      <c r="H15" s="156"/>
    </row>
    <row r="16" spans="2:8" x14ac:dyDescent="0.35">
      <c r="B16" s="569"/>
      <c r="C16" s="16"/>
      <c r="D16" s="567"/>
      <c r="E16" s="567"/>
      <c r="F16" s="567"/>
      <c r="G16" s="567"/>
      <c r="H16" s="156"/>
    </row>
    <row r="17" spans="2:8" ht="15.5" x14ac:dyDescent="0.35">
      <c r="B17" s="570" t="s">
        <v>1622</v>
      </c>
      <c r="C17" s="562" t="s">
        <v>1623</v>
      </c>
      <c r="D17" s="563"/>
      <c r="E17" s="563"/>
      <c r="F17" s="563"/>
      <c r="G17" s="563"/>
      <c r="H17" s="564"/>
    </row>
    <row r="18" spans="2:8" x14ac:dyDescent="0.35">
      <c r="B18" s="555"/>
      <c r="C18" s="201" t="s">
        <v>1624</v>
      </c>
      <c r="D18" s="567"/>
      <c r="E18" s="567"/>
      <c r="F18" s="567"/>
      <c r="G18" s="567"/>
      <c r="H18" s="156"/>
    </row>
    <row r="19" spans="2:8" x14ac:dyDescent="0.35">
      <c r="B19" s="568" t="s">
        <v>1625</v>
      </c>
      <c r="C19" s="16" t="s">
        <v>1626</v>
      </c>
      <c r="D19" s="567"/>
      <c r="E19" s="567"/>
      <c r="F19" s="567"/>
      <c r="G19" s="567"/>
      <c r="H19" s="156"/>
    </row>
    <row r="20" spans="2:8" x14ac:dyDescent="0.35">
      <c r="B20" s="568" t="s">
        <v>1627</v>
      </c>
      <c r="C20" s="16" t="s">
        <v>1628</v>
      </c>
      <c r="D20" s="567"/>
      <c r="E20" s="567"/>
      <c r="F20" s="567"/>
      <c r="G20" s="567"/>
      <c r="H20" s="156"/>
    </row>
    <row r="21" spans="2:8" x14ac:dyDescent="0.35">
      <c r="B21" s="568" t="s">
        <v>1629</v>
      </c>
      <c r="C21" s="16" t="s">
        <v>821</v>
      </c>
      <c r="D21" s="567"/>
      <c r="E21" s="567"/>
      <c r="F21" s="567"/>
      <c r="G21" s="567"/>
      <c r="H21" s="156"/>
    </row>
    <row r="22" spans="2:8" x14ac:dyDescent="0.35">
      <c r="B22" s="568" t="s">
        <v>1630</v>
      </c>
      <c r="C22" s="16" t="s">
        <v>1631</v>
      </c>
      <c r="D22" s="567"/>
      <c r="E22" s="567"/>
      <c r="F22" s="567"/>
      <c r="G22" s="567"/>
      <c r="H22" s="156"/>
    </row>
    <row r="23" spans="2:8" x14ac:dyDescent="0.35">
      <c r="B23" s="555"/>
      <c r="C23" s="201" t="s">
        <v>1632</v>
      </c>
      <c r="D23" s="567"/>
      <c r="E23" s="567"/>
      <c r="F23" s="567"/>
      <c r="G23" s="567"/>
      <c r="H23" s="156"/>
    </row>
    <row r="24" spans="2:8" x14ac:dyDescent="0.35">
      <c r="B24" s="568" t="s">
        <v>1633</v>
      </c>
      <c r="C24" s="16" t="s">
        <v>1626</v>
      </c>
      <c r="D24" s="567"/>
      <c r="E24" s="567"/>
      <c r="F24" s="567"/>
      <c r="G24" s="567"/>
      <c r="H24" s="156"/>
    </row>
    <row r="25" spans="2:8" x14ac:dyDescent="0.35">
      <c r="B25" s="568" t="s">
        <v>1634</v>
      </c>
      <c r="C25" s="16" t="s">
        <v>1628</v>
      </c>
      <c r="D25" s="567"/>
      <c r="E25" s="567"/>
      <c r="F25" s="567"/>
      <c r="G25" s="567"/>
      <c r="H25" s="156"/>
    </row>
    <row r="26" spans="2:8" x14ac:dyDescent="0.35">
      <c r="B26" s="568" t="s">
        <v>1635</v>
      </c>
      <c r="C26" s="16" t="s">
        <v>821</v>
      </c>
      <c r="D26" s="567"/>
      <c r="E26" s="567"/>
      <c r="F26" s="567"/>
      <c r="G26" s="567"/>
      <c r="H26" s="156"/>
    </row>
    <row r="27" spans="2:8" x14ac:dyDescent="0.35">
      <c r="B27" s="568" t="s">
        <v>1636</v>
      </c>
      <c r="C27" s="16" t="s">
        <v>1631</v>
      </c>
      <c r="D27" s="567"/>
      <c r="E27" s="567"/>
      <c r="F27" s="567"/>
      <c r="G27" s="567"/>
      <c r="H27" s="156"/>
    </row>
    <row r="28" spans="2:8" x14ac:dyDescent="0.35">
      <c r="B28" s="568" t="s">
        <v>1637</v>
      </c>
      <c r="C28" s="16" t="s">
        <v>1638</v>
      </c>
      <c r="D28" s="567"/>
      <c r="E28" s="567"/>
      <c r="F28" s="567"/>
      <c r="G28" s="567"/>
      <c r="H28" s="156"/>
    </row>
    <row r="29" spans="2:8" x14ac:dyDescent="0.35">
      <c r="B29" s="568" t="s">
        <v>1639</v>
      </c>
      <c r="C29" s="16" t="s">
        <v>1640</v>
      </c>
      <c r="D29" s="567"/>
      <c r="E29" s="567"/>
      <c r="F29" s="567"/>
      <c r="G29" s="567"/>
      <c r="H29" s="156"/>
    </row>
    <row r="30" spans="2:8" x14ac:dyDescent="0.35">
      <c r="B30" s="568" t="s">
        <v>1641</v>
      </c>
      <c r="C30" s="16" t="s">
        <v>1642</v>
      </c>
      <c r="D30" s="567"/>
      <c r="E30" s="567"/>
      <c r="F30" s="567"/>
      <c r="G30" s="567"/>
      <c r="H30" s="156"/>
    </row>
    <row r="31" spans="2:8" x14ac:dyDescent="0.35">
      <c r="B31" s="571"/>
      <c r="D31" s="567"/>
      <c r="E31" s="567"/>
      <c r="F31" s="567"/>
      <c r="G31" s="567"/>
      <c r="H31" s="156"/>
    </row>
    <row r="32" spans="2:8" ht="15.5" x14ac:dyDescent="0.35">
      <c r="B32" s="570" t="s">
        <v>1643</v>
      </c>
      <c r="C32" s="562" t="s">
        <v>1644</v>
      </c>
      <c r="D32" s="563"/>
      <c r="E32" s="563"/>
      <c r="F32" s="563"/>
      <c r="G32" s="563"/>
      <c r="H32" s="564"/>
    </row>
    <row r="33" spans="2:8" x14ac:dyDescent="0.35">
      <c r="B33" s="555"/>
      <c r="C33" s="201" t="s">
        <v>1632</v>
      </c>
      <c r="D33" s="567"/>
      <c r="E33" s="567"/>
      <c r="F33" s="567"/>
      <c r="G33" s="567"/>
      <c r="H33" s="156"/>
    </row>
    <row r="34" spans="2:8" x14ac:dyDescent="0.35">
      <c r="B34" s="568" t="s">
        <v>1645</v>
      </c>
      <c r="C34" s="16" t="s">
        <v>1646</v>
      </c>
      <c r="D34" s="567"/>
      <c r="E34" s="567"/>
      <c r="F34" s="567"/>
      <c r="G34" s="567"/>
      <c r="H34" s="156"/>
    </row>
    <row r="35" spans="2:8" x14ac:dyDescent="0.35">
      <c r="B35" s="568" t="s">
        <v>1647</v>
      </c>
      <c r="C35" s="16" t="s">
        <v>1648</v>
      </c>
      <c r="D35" s="567"/>
      <c r="E35" s="567"/>
      <c r="F35" s="567"/>
      <c r="G35" s="567"/>
      <c r="H35" s="156"/>
    </row>
    <row r="36" spans="2:8" x14ac:dyDescent="0.35">
      <c r="B36" s="568" t="s">
        <v>1649</v>
      </c>
      <c r="C36" s="16" t="s">
        <v>1650</v>
      </c>
      <c r="D36" s="567"/>
      <c r="E36" s="567"/>
      <c r="F36" s="567"/>
      <c r="G36" s="567"/>
      <c r="H36" s="156"/>
    </row>
    <row r="37" spans="2:8" x14ac:dyDescent="0.35">
      <c r="B37" s="568" t="s">
        <v>1651</v>
      </c>
      <c r="C37" s="16" t="s">
        <v>1652</v>
      </c>
      <c r="D37" s="567"/>
      <c r="E37" s="567"/>
      <c r="F37" s="567"/>
      <c r="G37" s="567"/>
      <c r="H37" s="156"/>
    </row>
    <row r="38" spans="2:8" x14ac:dyDescent="0.35">
      <c r="B38" s="568" t="s">
        <v>1653</v>
      </c>
      <c r="C38" s="16" t="s">
        <v>1654</v>
      </c>
      <c r="D38" s="567"/>
      <c r="E38" s="567"/>
      <c r="F38" s="567"/>
      <c r="G38" s="567"/>
      <c r="H38" s="156"/>
    </row>
    <row r="39" spans="2:8" x14ac:dyDescent="0.35">
      <c r="B39" s="555"/>
      <c r="C39" s="201" t="s">
        <v>1655</v>
      </c>
      <c r="D39" s="567"/>
      <c r="E39" s="567"/>
      <c r="F39" s="567"/>
      <c r="G39" s="567"/>
      <c r="H39" s="156"/>
    </row>
    <row r="40" spans="2:8" x14ac:dyDescent="0.35">
      <c r="B40" s="568" t="s">
        <v>1656</v>
      </c>
      <c r="C40" s="16" t="s">
        <v>1646</v>
      </c>
      <c r="D40" s="567"/>
      <c r="E40" s="567"/>
      <c r="F40" s="567"/>
      <c r="G40" s="567"/>
      <c r="H40" s="156"/>
    </row>
    <row r="41" spans="2:8" x14ac:dyDescent="0.35">
      <c r="B41" s="568" t="s">
        <v>1657</v>
      </c>
      <c r="C41" s="16" t="s">
        <v>1658</v>
      </c>
      <c r="D41" s="567"/>
      <c r="E41" s="567"/>
      <c r="F41" s="567"/>
      <c r="G41" s="567"/>
      <c r="H41" s="156"/>
    </row>
    <row r="42" spans="2:8" x14ac:dyDescent="0.35">
      <c r="B42" s="568" t="s">
        <v>1659</v>
      </c>
      <c r="C42" s="16" t="s">
        <v>1642</v>
      </c>
      <c r="D42" s="567"/>
      <c r="E42" s="567"/>
      <c r="F42" s="567"/>
      <c r="G42" s="567"/>
      <c r="H42" s="156"/>
    </row>
    <row r="43" spans="2:8" x14ac:dyDescent="0.35">
      <c r="B43" s="568" t="s">
        <v>1660</v>
      </c>
      <c r="C43" s="16" t="s">
        <v>1661</v>
      </c>
      <c r="D43" s="567"/>
      <c r="E43" s="567"/>
      <c r="F43" s="567"/>
      <c r="G43" s="567"/>
      <c r="H43" s="156"/>
    </row>
    <row r="44" spans="2:8" x14ac:dyDescent="0.35">
      <c r="B44" s="568" t="s">
        <v>1662</v>
      </c>
      <c r="C44" s="16" t="s">
        <v>1654</v>
      </c>
      <c r="D44" s="567"/>
      <c r="E44" s="567"/>
      <c r="F44" s="567"/>
      <c r="G44" s="567"/>
      <c r="H44" s="156"/>
    </row>
    <row r="45" spans="2:8" x14ac:dyDescent="0.35">
      <c r="B45" s="571"/>
      <c r="D45" s="567"/>
      <c r="E45" s="567"/>
      <c r="F45" s="567"/>
      <c r="G45" s="567"/>
      <c r="H45" s="156"/>
    </row>
    <row r="46" spans="2:8" ht="15.5" x14ac:dyDescent="0.35">
      <c r="B46" s="570" t="s">
        <v>1663</v>
      </c>
      <c r="C46" s="562" t="s">
        <v>1664</v>
      </c>
      <c r="D46" s="563"/>
      <c r="E46" s="563"/>
      <c r="F46" s="563"/>
      <c r="G46" s="563"/>
      <c r="H46" s="564"/>
    </row>
    <row r="47" spans="2:8" x14ac:dyDescent="0.35">
      <c r="B47" s="568" t="s">
        <v>1665</v>
      </c>
      <c r="C47" s="16" t="s">
        <v>1666</v>
      </c>
      <c r="D47" s="567"/>
      <c r="E47" s="567"/>
      <c r="F47" s="567"/>
      <c r="G47" s="567"/>
      <c r="H47" s="156"/>
    </row>
    <row r="48" spans="2:8" x14ac:dyDescent="0.35">
      <c r="B48" s="568" t="s">
        <v>1667</v>
      </c>
      <c r="C48" s="16" t="s">
        <v>1668</v>
      </c>
      <c r="D48" s="567"/>
      <c r="E48" s="567"/>
      <c r="F48" s="567"/>
      <c r="G48" s="567"/>
      <c r="H48" s="156"/>
    </row>
    <row r="49" spans="2:8" x14ac:dyDescent="0.35">
      <c r="B49" s="568"/>
      <c r="C49" s="16"/>
      <c r="D49" s="567"/>
      <c r="E49" s="567"/>
      <c r="F49" s="567"/>
      <c r="G49" s="567"/>
      <c r="H49" s="156"/>
    </row>
    <row r="50" spans="2:8" ht="15.5" x14ac:dyDescent="0.35">
      <c r="B50" s="570" t="s">
        <v>1669</v>
      </c>
      <c r="C50" s="562" t="s">
        <v>1670</v>
      </c>
      <c r="D50" s="563"/>
      <c r="E50" s="563"/>
      <c r="F50" s="563"/>
      <c r="G50" s="563"/>
      <c r="H50" s="564"/>
    </row>
    <row r="51" spans="2:8" x14ac:dyDescent="0.35">
      <c r="B51" s="571" t="s">
        <v>1671</v>
      </c>
      <c r="C51" s="201" t="s">
        <v>1607</v>
      </c>
      <c r="D51" s="567"/>
      <c r="E51" s="567"/>
      <c r="F51" s="567"/>
      <c r="G51" s="567"/>
      <c r="H51" s="156"/>
    </row>
    <row r="52" spans="2:8" x14ac:dyDescent="0.35">
      <c r="B52" s="571" t="s">
        <v>1672</v>
      </c>
      <c r="C52" s="201" t="s">
        <v>1673</v>
      </c>
      <c r="D52" s="567"/>
      <c r="E52" s="567"/>
      <c r="F52" s="567"/>
      <c r="G52" s="567"/>
      <c r="H52" s="156"/>
    </row>
    <row r="53" spans="2:8" x14ac:dyDescent="0.35">
      <c r="B53" s="571" t="s">
        <v>1674</v>
      </c>
      <c r="C53" s="201" t="s">
        <v>1675</v>
      </c>
      <c r="D53" s="567"/>
      <c r="E53" s="567"/>
      <c r="F53" s="567"/>
      <c r="G53" s="567"/>
      <c r="H53" s="156"/>
    </row>
    <row r="54" spans="2:8" x14ac:dyDescent="0.35">
      <c r="B54" s="572" t="s">
        <v>1676</v>
      </c>
      <c r="C54" s="573" t="s">
        <v>1677</v>
      </c>
      <c r="D54" s="574"/>
      <c r="E54" s="574"/>
      <c r="F54" s="574"/>
      <c r="G54" s="574"/>
      <c r="H54" s="556"/>
    </row>
  </sheetData>
  <mergeCells count="4">
    <mergeCell ref="D4:F4"/>
    <mergeCell ref="B6:B7"/>
    <mergeCell ref="C6:C7"/>
    <mergeCell ref="D6:G6"/>
  </mergeCells>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12B3F-D44F-4452-8A99-68708B25707D}">
  <dimension ref="B5:O35"/>
  <sheetViews>
    <sheetView workbookViewId="0">
      <selection activeCell="H31" sqref="H31"/>
    </sheetView>
  </sheetViews>
  <sheetFormatPr defaultColWidth="8.90625" defaultRowHeight="14.5" x14ac:dyDescent="0.35"/>
  <cols>
    <col min="1" max="1" width="5.54296875" customWidth="1"/>
    <col min="2" max="2" width="24.1796875" customWidth="1"/>
    <col min="3" max="3" width="11.81640625" customWidth="1"/>
    <col min="4" max="4" width="17.36328125" customWidth="1"/>
    <col min="5" max="5" width="15.90625" customWidth="1"/>
    <col min="6" max="6" width="15.1796875" customWidth="1"/>
    <col min="7" max="7" width="14.81640625" customWidth="1"/>
    <col min="8" max="8" width="12.81640625" customWidth="1"/>
    <col min="9" max="9" width="14.36328125" customWidth="1"/>
    <col min="10" max="10" width="13.453125" customWidth="1"/>
    <col min="11" max="11" width="13.26953125" customWidth="1"/>
    <col min="12" max="12" width="13.1796875" customWidth="1"/>
    <col min="13" max="13" width="14.36328125" customWidth="1"/>
    <col min="15" max="15" width="17.1796875" customWidth="1"/>
  </cols>
  <sheetData>
    <row r="5" spans="2:15" ht="19.5" customHeight="1" x14ac:dyDescent="0.35">
      <c r="B5" s="844" t="s">
        <v>1678</v>
      </c>
      <c r="C5" s="841" t="s">
        <v>1679</v>
      </c>
      <c r="D5" s="841" t="s">
        <v>1680</v>
      </c>
      <c r="E5" s="846" t="s">
        <v>1681</v>
      </c>
      <c r="F5" s="844"/>
      <c r="G5" s="844"/>
      <c r="H5" s="844" t="s">
        <v>1682</v>
      </c>
      <c r="I5" s="844"/>
      <c r="J5" s="844"/>
      <c r="K5" s="844" t="s">
        <v>1683</v>
      </c>
      <c r="L5" s="844"/>
      <c r="M5" s="844"/>
      <c r="N5" s="844"/>
      <c r="O5" s="841" t="s">
        <v>1684</v>
      </c>
    </row>
    <row r="6" spans="2:15" ht="17.25" customHeight="1" x14ac:dyDescent="0.35">
      <c r="B6" s="845"/>
      <c r="C6" s="843"/>
      <c r="D6" s="843"/>
      <c r="E6" s="578" t="s">
        <v>1685</v>
      </c>
      <c r="F6" s="577" t="s">
        <v>1686</v>
      </c>
      <c r="G6" s="577" t="s">
        <v>1687</v>
      </c>
      <c r="H6" s="576" t="s">
        <v>1688</v>
      </c>
      <c r="I6" s="576" t="s">
        <v>1686</v>
      </c>
      <c r="J6" s="577" t="s">
        <v>1687</v>
      </c>
      <c r="K6" s="576" t="s">
        <v>1688</v>
      </c>
      <c r="L6" s="576" t="s">
        <v>1686</v>
      </c>
      <c r="M6" s="576" t="s">
        <v>1687</v>
      </c>
      <c r="N6" s="576" t="s">
        <v>1689</v>
      </c>
      <c r="O6" s="842"/>
    </row>
    <row r="7" spans="2:15" ht="17.25" customHeight="1" x14ac:dyDescent="0.35">
      <c r="B7" s="579">
        <v>1</v>
      </c>
      <c r="C7" s="579">
        <v>2</v>
      </c>
      <c r="D7" s="579">
        <v>3</v>
      </c>
      <c r="E7" s="580">
        <v>4</v>
      </c>
      <c r="F7" s="579">
        <v>5</v>
      </c>
      <c r="G7" s="579">
        <v>6</v>
      </c>
      <c r="H7" s="579">
        <v>7</v>
      </c>
      <c r="I7" s="579">
        <v>8</v>
      </c>
      <c r="J7" s="579">
        <v>9</v>
      </c>
      <c r="K7" s="579">
        <v>10</v>
      </c>
      <c r="L7" s="579">
        <v>11</v>
      </c>
      <c r="M7" s="579">
        <v>12</v>
      </c>
      <c r="N7" s="579">
        <v>13</v>
      </c>
      <c r="O7" s="581">
        <v>14</v>
      </c>
    </row>
    <row r="8" spans="2:15" x14ac:dyDescent="0.35">
      <c r="B8" s="575"/>
      <c r="C8" s="575"/>
      <c r="D8" s="575"/>
      <c r="E8" s="575"/>
      <c r="F8" s="575"/>
      <c r="G8" s="575"/>
      <c r="H8" s="575"/>
      <c r="I8" s="575"/>
      <c r="J8" s="575"/>
      <c r="K8" s="575"/>
      <c r="L8" s="575"/>
      <c r="M8" s="575"/>
      <c r="N8" s="575"/>
      <c r="O8" s="575"/>
    </row>
    <row r="9" spans="2:15" x14ac:dyDescent="0.35">
      <c r="B9" s="575"/>
      <c r="C9" s="575"/>
      <c r="D9" s="575"/>
      <c r="E9" s="575"/>
      <c r="F9" s="575"/>
      <c r="G9" s="575"/>
      <c r="H9" s="575"/>
      <c r="I9" s="575"/>
      <c r="J9" s="575"/>
      <c r="K9" s="575"/>
      <c r="L9" s="575"/>
      <c r="M9" s="575"/>
      <c r="N9" s="575"/>
      <c r="O9" s="575"/>
    </row>
    <row r="10" spans="2:15" x14ac:dyDescent="0.35">
      <c r="B10" s="575"/>
      <c r="C10" s="575"/>
      <c r="D10" s="575"/>
      <c r="E10" s="575"/>
      <c r="F10" s="575"/>
      <c r="G10" s="575"/>
      <c r="H10" s="575"/>
      <c r="I10" s="575"/>
      <c r="J10" s="575"/>
      <c r="K10" s="575"/>
      <c r="L10" s="575"/>
      <c r="M10" s="575"/>
      <c r="N10" s="575"/>
      <c r="O10" s="575"/>
    </row>
    <row r="11" spans="2:15" x14ac:dyDescent="0.35">
      <c r="B11" s="575"/>
      <c r="C11" s="575"/>
      <c r="D11" s="575"/>
      <c r="E11" s="575"/>
      <c r="F11" s="575"/>
      <c r="G11" s="575"/>
      <c r="H11" s="575"/>
      <c r="I11" s="575"/>
      <c r="J11" s="575"/>
      <c r="K11" s="575"/>
      <c r="L11" s="575"/>
      <c r="M11" s="575"/>
      <c r="N11" s="575"/>
      <c r="O11" s="575"/>
    </row>
    <row r="12" spans="2:15" x14ac:dyDescent="0.35">
      <c r="B12" s="575"/>
      <c r="C12" s="575"/>
      <c r="D12" s="575"/>
      <c r="E12" s="575"/>
      <c r="F12" s="575"/>
      <c r="G12" s="575"/>
      <c r="H12" s="575"/>
      <c r="I12" s="575"/>
      <c r="J12" s="575"/>
      <c r="K12" s="575"/>
      <c r="L12" s="575"/>
      <c r="M12" s="575"/>
      <c r="N12" s="575"/>
      <c r="O12" s="575"/>
    </row>
    <row r="13" spans="2:15" x14ac:dyDescent="0.35">
      <c r="B13" s="575"/>
      <c r="C13" s="575"/>
      <c r="D13" s="575"/>
      <c r="E13" s="575"/>
      <c r="F13" s="575"/>
      <c r="G13" s="575"/>
      <c r="H13" s="575"/>
      <c r="I13" s="575"/>
      <c r="J13" s="575"/>
      <c r="K13" s="575"/>
      <c r="L13" s="575"/>
      <c r="M13" s="575"/>
      <c r="N13" s="575"/>
      <c r="O13" s="575"/>
    </row>
    <row r="14" spans="2:15" x14ac:dyDescent="0.35">
      <c r="B14" s="575"/>
      <c r="C14" s="575"/>
      <c r="D14" s="575"/>
      <c r="E14" s="575"/>
      <c r="F14" s="575"/>
      <c r="G14" s="575"/>
      <c r="H14" s="575"/>
      <c r="I14" s="575"/>
      <c r="J14" s="575"/>
      <c r="K14" s="575"/>
      <c r="L14" s="575"/>
      <c r="M14" s="575"/>
      <c r="N14" s="575"/>
      <c r="O14" s="575"/>
    </row>
    <row r="15" spans="2:15" x14ac:dyDescent="0.35">
      <c r="B15" s="575"/>
      <c r="C15" s="575"/>
      <c r="D15" s="575"/>
      <c r="E15" s="575"/>
      <c r="F15" s="575"/>
      <c r="G15" s="575"/>
      <c r="H15" s="575"/>
      <c r="I15" s="575"/>
      <c r="J15" s="575"/>
      <c r="K15" s="575"/>
      <c r="L15" s="575"/>
      <c r="M15" s="575"/>
      <c r="N15" s="575"/>
      <c r="O15" s="575"/>
    </row>
    <row r="16" spans="2:15" x14ac:dyDescent="0.35">
      <c r="B16" s="575"/>
      <c r="C16" s="575"/>
      <c r="D16" s="575"/>
      <c r="E16" s="575"/>
      <c r="F16" s="575"/>
      <c r="G16" s="575"/>
      <c r="H16" s="575"/>
      <c r="I16" s="575"/>
      <c r="J16" s="575"/>
      <c r="K16" s="575"/>
      <c r="L16" s="575"/>
      <c r="M16" s="575"/>
      <c r="N16" s="575"/>
      <c r="O16" s="575"/>
    </row>
    <row r="17" spans="2:15" x14ac:dyDescent="0.35">
      <c r="B17" s="575"/>
      <c r="C17" s="575"/>
      <c r="D17" s="575"/>
      <c r="E17" s="575"/>
      <c r="F17" s="575"/>
      <c r="G17" s="575"/>
      <c r="H17" s="575"/>
      <c r="I17" s="575"/>
      <c r="J17" s="575"/>
      <c r="K17" s="575"/>
      <c r="L17" s="575"/>
      <c r="M17" s="575"/>
      <c r="N17" s="575"/>
      <c r="O17" s="575"/>
    </row>
    <row r="18" spans="2:15" x14ac:dyDescent="0.35">
      <c r="B18" s="575"/>
      <c r="C18" s="575"/>
      <c r="D18" s="575"/>
      <c r="E18" s="575"/>
      <c r="F18" s="575"/>
      <c r="G18" s="575"/>
      <c r="H18" s="575"/>
      <c r="I18" s="575"/>
      <c r="J18" s="575"/>
      <c r="K18" s="575"/>
      <c r="L18" s="575"/>
      <c r="M18" s="575"/>
      <c r="N18" s="575"/>
      <c r="O18" s="575"/>
    </row>
    <row r="19" spans="2:15" x14ac:dyDescent="0.35">
      <c r="B19" s="575"/>
      <c r="C19" s="575"/>
      <c r="D19" s="575"/>
      <c r="E19" s="575"/>
      <c r="F19" s="575"/>
      <c r="G19" s="575"/>
      <c r="H19" s="575"/>
      <c r="I19" s="575"/>
      <c r="J19" s="575"/>
      <c r="K19" s="575"/>
      <c r="L19" s="575"/>
      <c r="M19" s="575"/>
      <c r="N19" s="575"/>
      <c r="O19" s="575"/>
    </row>
    <row r="20" spans="2:15" x14ac:dyDescent="0.35">
      <c r="B20" s="575"/>
      <c r="C20" s="575"/>
      <c r="D20" s="575"/>
      <c r="E20" s="575"/>
      <c r="F20" s="575"/>
      <c r="G20" s="575"/>
      <c r="H20" s="575"/>
      <c r="I20" s="575"/>
      <c r="J20" s="575"/>
      <c r="K20" s="575"/>
      <c r="L20" s="575"/>
      <c r="M20" s="575"/>
      <c r="N20" s="575"/>
      <c r="O20" s="575"/>
    </row>
    <row r="21" spans="2:15" x14ac:dyDescent="0.35">
      <c r="B21" s="575"/>
      <c r="C21" s="575"/>
      <c r="D21" s="575"/>
      <c r="E21" s="575"/>
      <c r="F21" s="575"/>
      <c r="G21" s="575"/>
      <c r="H21" s="575"/>
      <c r="I21" s="575"/>
      <c r="J21" s="575"/>
      <c r="K21" s="575"/>
      <c r="L21" s="575"/>
      <c r="M21" s="575"/>
      <c r="N21" s="575"/>
      <c r="O21" s="575"/>
    </row>
    <row r="22" spans="2:15" x14ac:dyDescent="0.35">
      <c r="B22" s="575"/>
      <c r="C22" s="575"/>
      <c r="D22" s="575"/>
      <c r="E22" s="575"/>
      <c r="F22" s="575"/>
      <c r="G22" s="575"/>
      <c r="H22" s="575"/>
      <c r="I22" s="575"/>
      <c r="J22" s="575"/>
      <c r="K22" s="575"/>
      <c r="L22" s="575"/>
      <c r="M22" s="575"/>
      <c r="N22" s="575"/>
      <c r="O22" s="575"/>
    </row>
    <row r="23" spans="2:15" x14ac:dyDescent="0.35">
      <c r="B23" s="575"/>
      <c r="C23" s="575"/>
      <c r="D23" s="575"/>
      <c r="E23" s="575"/>
      <c r="F23" s="575"/>
      <c r="G23" s="575"/>
      <c r="H23" s="575"/>
      <c r="I23" s="575"/>
      <c r="J23" s="575"/>
      <c r="K23" s="575"/>
      <c r="L23" s="575"/>
      <c r="M23" s="575"/>
      <c r="N23" s="575"/>
      <c r="O23" s="575"/>
    </row>
    <row r="24" spans="2:15" x14ac:dyDescent="0.35">
      <c r="B24" s="575"/>
      <c r="C24" s="575"/>
      <c r="D24" s="575"/>
      <c r="E24" s="575"/>
      <c r="F24" s="575"/>
      <c r="G24" s="575"/>
      <c r="H24" s="575"/>
      <c r="I24" s="575"/>
      <c r="J24" s="575"/>
      <c r="K24" s="575"/>
      <c r="L24" s="575"/>
      <c r="M24" s="575"/>
      <c r="N24" s="575"/>
      <c r="O24" s="575"/>
    </row>
    <row r="25" spans="2:15" x14ac:dyDescent="0.35">
      <c r="B25" s="575"/>
      <c r="C25" s="575"/>
      <c r="D25" s="575"/>
      <c r="E25" s="575"/>
      <c r="F25" s="575"/>
      <c r="G25" s="575"/>
      <c r="H25" s="575"/>
      <c r="I25" s="575"/>
      <c r="J25" s="575"/>
      <c r="K25" s="575"/>
      <c r="L25" s="575"/>
      <c r="M25" s="575"/>
      <c r="N25" s="575"/>
      <c r="O25" s="575"/>
    </row>
    <row r="26" spans="2:15" x14ac:dyDescent="0.35">
      <c r="B26" s="575"/>
      <c r="C26" s="575"/>
      <c r="D26" s="575"/>
      <c r="E26" s="575"/>
      <c r="F26" s="575"/>
      <c r="G26" s="575"/>
      <c r="H26" s="575"/>
      <c r="I26" s="575"/>
      <c r="J26" s="575"/>
      <c r="K26" s="575"/>
      <c r="L26" s="575"/>
      <c r="M26" s="575"/>
      <c r="N26" s="575"/>
      <c r="O26" s="575"/>
    </row>
    <row r="27" spans="2:15" x14ac:dyDescent="0.35">
      <c r="B27" s="575"/>
      <c r="C27" s="575"/>
      <c r="D27" s="575"/>
      <c r="E27" s="575"/>
      <c r="F27" s="575"/>
      <c r="G27" s="575"/>
      <c r="H27" s="575"/>
      <c r="I27" s="575"/>
      <c r="J27" s="575"/>
      <c r="K27" s="575"/>
      <c r="L27" s="575"/>
      <c r="M27" s="575"/>
      <c r="N27" s="575"/>
      <c r="O27" s="575"/>
    </row>
    <row r="28" spans="2:15" x14ac:dyDescent="0.35">
      <c r="B28" s="575"/>
      <c r="C28" s="575"/>
      <c r="D28" s="575"/>
      <c r="E28" s="575"/>
      <c r="F28" s="575"/>
      <c r="G28" s="575"/>
      <c r="H28" s="575"/>
      <c r="I28" s="575"/>
      <c r="J28" s="575"/>
      <c r="K28" s="575"/>
      <c r="L28" s="575"/>
      <c r="M28" s="575"/>
      <c r="N28" s="575"/>
      <c r="O28" s="575"/>
    </row>
    <row r="29" spans="2:15" x14ac:dyDescent="0.35">
      <c r="B29" s="575"/>
      <c r="C29" s="575"/>
      <c r="D29" s="575"/>
      <c r="E29" s="575"/>
      <c r="F29" s="575"/>
      <c r="G29" s="575"/>
      <c r="H29" s="575"/>
      <c r="I29" s="575"/>
      <c r="J29" s="575"/>
      <c r="K29" s="575"/>
      <c r="L29" s="575"/>
      <c r="M29" s="575"/>
      <c r="N29" s="575"/>
      <c r="O29" s="575"/>
    </row>
    <row r="30" spans="2:15" x14ac:dyDescent="0.35">
      <c r="B30" s="575"/>
      <c r="C30" s="575"/>
      <c r="D30" s="575"/>
      <c r="E30" s="575"/>
      <c r="F30" s="575"/>
      <c r="G30" s="575"/>
      <c r="H30" s="575"/>
      <c r="I30" s="575"/>
      <c r="J30" s="575"/>
      <c r="K30" s="575"/>
      <c r="L30" s="575"/>
      <c r="M30" s="575"/>
      <c r="N30" s="575"/>
      <c r="O30" s="575"/>
    </row>
    <row r="31" spans="2:15" x14ac:dyDescent="0.35">
      <c r="B31" s="575"/>
      <c r="C31" s="575"/>
      <c r="D31" s="575"/>
      <c r="E31" s="575"/>
      <c r="F31" s="575"/>
      <c r="G31" s="575"/>
      <c r="H31" s="575"/>
      <c r="I31" s="575"/>
      <c r="J31" s="575"/>
      <c r="K31" s="575"/>
      <c r="L31" s="575"/>
      <c r="M31" s="575"/>
      <c r="N31" s="575"/>
      <c r="O31" s="575"/>
    </row>
    <row r="32" spans="2:15" x14ac:dyDescent="0.35">
      <c r="B32" s="575"/>
      <c r="C32" s="575"/>
      <c r="D32" s="575"/>
      <c r="E32" s="575"/>
      <c r="F32" s="575"/>
      <c r="G32" s="575"/>
      <c r="H32" s="575"/>
      <c r="I32" s="575"/>
      <c r="J32" s="575"/>
      <c r="K32" s="575"/>
      <c r="L32" s="575"/>
      <c r="M32" s="575"/>
      <c r="N32" s="575"/>
      <c r="O32" s="575"/>
    </row>
    <row r="33" spans="2:15" x14ac:dyDescent="0.35">
      <c r="B33" s="575"/>
      <c r="C33" s="575"/>
      <c r="D33" s="575"/>
      <c r="E33" s="575"/>
      <c r="F33" s="575"/>
      <c r="G33" s="575"/>
      <c r="H33" s="575"/>
      <c r="I33" s="575"/>
      <c r="J33" s="575"/>
      <c r="K33" s="575"/>
      <c r="L33" s="575"/>
      <c r="M33" s="575"/>
      <c r="N33" s="575"/>
      <c r="O33" s="575"/>
    </row>
    <row r="34" spans="2:15" x14ac:dyDescent="0.35">
      <c r="B34" s="575"/>
      <c r="C34" s="575"/>
      <c r="D34" s="575"/>
      <c r="E34" s="575"/>
      <c r="F34" s="575"/>
      <c r="G34" s="575"/>
      <c r="H34" s="575"/>
      <c r="I34" s="575"/>
      <c r="J34" s="575"/>
      <c r="K34" s="575"/>
      <c r="L34" s="575"/>
      <c r="M34" s="575"/>
      <c r="N34" s="575"/>
      <c r="O34" s="575"/>
    </row>
    <row r="35" spans="2:15" x14ac:dyDescent="0.35">
      <c r="B35" s="575"/>
      <c r="C35" s="575"/>
      <c r="D35" s="575"/>
      <c r="E35" s="575"/>
      <c r="F35" s="575"/>
      <c r="G35" s="575"/>
      <c r="H35" s="575"/>
      <c r="I35" s="575"/>
      <c r="J35" s="575"/>
      <c r="K35" s="575"/>
      <c r="L35" s="575"/>
      <c r="M35" s="575"/>
      <c r="N35" s="575"/>
      <c r="O35" s="575"/>
    </row>
  </sheetData>
  <mergeCells count="7">
    <mergeCell ref="O5:O6"/>
    <mergeCell ref="D5:D6"/>
    <mergeCell ref="C5:C6"/>
    <mergeCell ref="B5:B6"/>
    <mergeCell ref="E5:G5"/>
    <mergeCell ref="H5:J5"/>
    <mergeCell ref="K5:N5"/>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Planilha16">
    <tabColor rgb="FFFFFF00"/>
  </sheetPr>
  <dimension ref="B1:P370"/>
  <sheetViews>
    <sheetView showGridLines="0" zoomScaleNormal="100" workbookViewId="0">
      <pane ySplit="2" topLeftCell="A160" activePane="bottomLeft" state="frozen"/>
      <selection pane="bottomLeft"/>
    </sheetView>
  </sheetViews>
  <sheetFormatPr defaultColWidth="8.90625" defaultRowHeight="14.5" zeroHeight="1" x14ac:dyDescent="0.35"/>
  <cols>
    <col min="1" max="1" width="3.36328125" customWidth="1"/>
    <col min="2" max="2" width="3.7265625" customWidth="1"/>
    <col min="4" max="4" width="41.1796875" customWidth="1"/>
    <col min="5" max="5" width="28.36328125" bestFit="1" customWidth="1"/>
    <col min="6" max="6" width="12.6328125" customWidth="1"/>
    <col min="8" max="8" width="43.453125" customWidth="1"/>
    <col min="9" max="9" width="30" bestFit="1" customWidth="1"/>
    <col min="10" max="10" width="12.6328125" customWidth="1"/>
    <col min="11" max="11" width="9.1796875" customWidth="1"/>
    <col min="12" max="12" width="0.26953125" customWidth="1"/>
  </cols>
  <sheetData>
    <row r="1" spans="2:16" s="10" customFormat="1" ht="26.5" customHeight="1" x14ac:dyDescent="0.55000000000000004">
      <c r="B1" s="56"/>
      <c r="C1" s="57"/>
    </row>
    <row r="2" spans="2:16" s="10" customFormat="1" ht="23.25" customHeight="1" x14ac:dyDescent="0.35">
      <c r="B2" s="537" t="s">
        <v>1242</v>
      </c>
    </row>
    <row r="3" spans="2:16" s="10" customFormat="1" ht="14.25" customHeight="1" x14ac:dyDescent="0.35"/>
    <row r="4" spans="2:16" ht="44.25" customHeight="1" x14ac:dyDescent="0.35">
      <c r="C4" s="41" t="s">
        <v>1690</v>
      </c>
      <c r="D4" s="41"/>
      <c r="E4" s="41"/>
      <c r="F4" s="41"/>
      <c r="G4" s="41"/>
      <c r="H4" s="41"/>
      <c r="I4" s="41"/>
      <c r="J4" s="41"/>
      <c r="K4" s="14"/>
      <c r="L4" s="14"/>
      <c r="M4" s="14"/>
    </row>
    <row r="5" spans="2:16" s="16" customFormat="1" ht="19.5" customHeight="1" x14ac:dyDescent="0.35">
      <c r="C5" s="851" t="s">
        <v>1691</v>
      </c>
      <c r="D5" s="851"/>
      <c r="E5" s="851"/>
      <c r="F5" s="851"/>
      <c r="G5" s="851"/>
      <c r="H5" s="851"/>
      <c r="I5" s="851"/>
      <c r="J5" s="851"/>
      <c r="K5" s="15"/>
      <c r="L5" s="15"/>
      <c r="M5" s="17"/>
      <c r="N5" s="17"/>
      <c r="O5" s="17"/>
      <c r="P5" s="17"/>
    </row>
    <row r="6" spans="2:16" s="16" customFormat="1" ht="27.75" customHeight="1" x14ac:dyDescent="0.35">
      <c r="C6" s="851"/>
      <c r="D6" s="851"/>
      <c r="E6" s="851"/>
      <c r="F6" s="851"/>
      <c r="G6" s="851"/>
      <c r="H6" s="851"/>
      <c r="I6" s="851"/>
      <c r="J6" s="851"/>
      <c r="K6" s="15"/>
      <c r="L6" s="15"/>
      <c r="M6" s="17"/>
      <c r="N6" s="17"/>
      <c r="O6" s="17"/>
      <c r="P6" s="17"/>
    </row>
    <row r="7" spans="2:16" s="16" customFormat="1" ht="27.75" customHeight="1" x14ac:dyDescent="0.35">
      <c r="C7" s="851"/>
      <c r="D7" s="851"/>
      <c r="E7" s="851"/>
      <c r="F7" s="851"/>
      <c r="G7" s="851"/>
      <c r="H7" s="851"/>
      <c r="I7" s="851"/>
      <c r="J7" s="851"/>
      <c r="K7" s="15"/>
      <c r="L7" s="15"/>
      <c r="M7" s="17"/>
      <c r="N7" s="17"/>
      <c r="O7" s="17"/>
      <c r="P7" s="17"/>
    </row>
    <row r="8" spans="2:16" ht="40" customHeight="1" x14ac:dyDescent="0.35">
      <c r="C8" s="43" t="s">
        <v>1692</v>
      </c>
      <c r="D8" s="43"/>
      <c r="E8" s="42"/>
      <c r="F8" s="42"/>
      <c r="G8" s="42"/>
      <c r="H8" s="42"/>
      <c r="I8" s="42"/>
      <c r="J8" s="42"/>
      <c r="K8" s="12"/>
      <c r="L8" s="12"/>
      <c r="M8" s="12"/>
      <c r="N8" s="12"/>
      <c r="O8" s="12"/>
      <c r="P8" s="12"/>
    </row>
    <row r="9" spans="2:16" ht="40" customHeight="1" x14ac:dyDescent="0.35">
      <c r="C9" s="43" t="s">
        <v>1693</v>
      </c>
      <c r="D9" s="43"/>
      <c r="E9" s="42"/>
      <c r="F9" s="42"/>
      <c r="G9" s="42"/>
      <c r="H9" s="42"/>
      <c r="I9" s="42"/>
      <c r="J9" s="42"/>
      <c r="K9" s="12"/>
      <c r="L9" s="12"/>
      <c r="M9" s="12"/>
      <c r="N9" s="12"/>
      <c r="O9" s="12"/>
      <c r="P9" s="12"/>
    </row>
    <row r="10" spans="2:16" ht="40" customHeight="1" x14ac:dyDescent="0.35">
      <c r="C10" s="43" t="s">
        <v>1694</v>
      </c>
      <c r="D10" s="43"/>
      <c r="E10" s="42"/>
      <c r="F10" s="42"/>
      <c r="G10" s="42"/>
      <c r="H10" s="42"/>
      <c r="I10" s="42"/>
      <c r="J10" s="42"/>
      <c r="K10" s="12"/>
      <c r="L10" s="12"/>
      <c r="M10" s="12"/>
      <c r="N10" s="12"/>
      <c r="O10" s="12"/>
      <c r="P10" s="12"/>
    </row>
    <row r="11" spans="2:16" ht="40" customHeight="1" x14ac:dyDescent="0.35">
      <c r="C11" s="43" t="s">
        <v>1695</v>
      </c>
      <c r="D11" s="43"/>
      <c r="E11" s="42"/>
      <c r="F11" s="42"/>
      <c r="G11" s="42"/>
      <c r="H11" s="42"/>
      <c r="I11" s="42"/>
      <c r="J11" s="42"/>
      <c r="K11" s="12"/>
      <c r="L11" s="12"/>
      <c r="M11" s="12"/>
      <c r="N11" s="12"/>
      <c r="O11" s="12"/>
      <c r="P11" s="12"/>
    </row>
    <row r="12" spans="2:16" ht="40" customHeight="1" x14ac:dyDescent="0.35">
      <c r="C12" s="43" t="s">
        <v>1696</v>
      </c>
      <c r="D12" s="43"/>
      <c r="E12" s="42"/>
      <c r="F12" s="42"/>
      <c r="G12" s="42"/>
      <c r="H12" s="42"/>
      <c r="I12" s="42"/>
      <c r="J12" s="42"/>
      <c r="K12" s="12"/>
      <c r="L12" s="12"/>
      <c r="M12" s="12"/>
      <c r="N12" s="12"/>
      <c r="O12" s="12"/>
      <c r="P12" s="12"/>
    </row>
    <row r="13" spans="2:16" ht="40" customHeight="1" x14ac:dyDescent="0.35">
      <c r="C13" s="43" t="s">
        <v>1697</v>
      </c>
      <c r="D13" s="43"/>
      <c r="E13" s="42"/>
      <c r="F13" s="42"/>
      <c r="G13" s="42"/>
      <c r="H13" s="42"/>
      <c r="I13" s="42"/>
      <c r="J13" s="42"/>
      <c r="K13" s="12"/>
      <c r="L13" s="12"/>
      <c r="M13" s="12"/>
      <c r="N13" s="12"/>
      <c r="O13" s="12"/>
      <c r="P13" s="12"/>
    </row>
    <row r="14" spans="2:16" ht="40" customHeight="1" x14ac:dyDescent="0.35">
      <c r="C14" s="43" t="s">
        <v>1698</v>
      </c>
      <c r="D14" s="43"/>
      <c r="E14" s="42"/>
      <c r="F14" s="42"/>
      <c r="G14" s="42"/>
      <c r="H14" s="42"/>
      <c r="I14" s="42"/>
      <c r="J14" s="42"/>
      <c r="K14" s="12"/>
      <c r="L14" s="12"/>
      <c r="M14" s="12"/>
      <c r="N14" s="12"/>
      <c r="O14" s="12"/>
      <c r="P14" s="12"/>
    </row>
    <row r="15" spans="2:16" ht="40" customHeight="1" x14ac:dyDescent="0.35">
      <c r="C15" s="43" t="s">
        <v>1699</v>
      </c>
      <c r="D15" s="43"/>
      <c r="E15" s="42"/>
      <c r="F15" s="42"/>
      <c r="G15" s="42"/>
      <c r="H15" s="42"/>
      <c r="I15" s="42"/>
      <c r="J15" s="42"/>
      <c r="K15" s="12"/>
      <c r="L15" s="12"/>
      <c r="M15" s="12"/>
      <c r="N15" s="12"/>
      <c r="O15" s="12"/>
      <c r="P15" s="12"/>
    </row>
    <row r="16" spans="2:16" ht="40" customHeight="1" x14ac:dyDescent="0.35">
      <c r="C16" s="43" t="s">
        <v>1700</v>
      </c>
      <c r="D16" s="43"/>
      <c r="E16" s="42"/>
      <c r="F16" s="42"/>
      <c r="G16" s="42"/>
      <c r="H16" s="42"/>
      <c r="I16" s="42"/>
      <c r="J16" s="42"/>
      <c r="K16" s="12"/>
      <c r="L16" s="12"/>
      <c r="M16" s="12"/>
      <c r="N16" s="12"/>
      <c r="O16" s="12"/>
      <c r="P16" s="12"/>
    </row>
    <row r="17" spans="3:10" ht="23.25" customHeight="1" x14ac:dyDescent="0.6">
      <c r="C17" s="44"/>
      <c r="D17" s="44"/>
      <c r="E17" s="44"/>
      <c r="F17" s="44"/>
      <c r="G17" s="44"/>
      <c r="H17" s="44"/>
      <c r="I17" s="44"/>
      <c r="J17" s="44"/>
    </row>
    <row r="18" spans="3:10" ht="30" customHeight="1" thickBot="1" x14ac:dyDescent="0.65">
      <c r="C18" s="43" t="s">
        <v>1701</v>
      </c>
      <c r="D18" s="44"/>
      <c r="E18" s="44"/>
      <c r="F18" s="44"/>
      <c r="G18" s="44"/>
      <c r="H18" s="44"/>
      <c r="I18" s="44"/>
      <c r="J18" s="44"/>
    </row>
    <row r="19" spans="3:10" ht="30" customHeight="1" thickTop="1" thickBot="1" x14ac:dyDescent="0.4">
      <c r="C19" s="92" t="str">
        <f>'Activos Não Correntes'!J4</f>
        <v>1.1</v>
      </c>
      <c r="D19" s="671" t="s">
        <v>1702</v>
      </c>
      <c r="E19" s="672"/>
      <c r="F19" s="672"/>
      <c r="G19" s="672"/>
      <c r="H19" s="672"/>
      <c r="I19" s="672"/>
      <c r="J19" s="673"/>
    </row>
    <row r="20" spans="3:10" ht="30" customHeight="1" thickTop="1" thickBot="1" x14ac:dyDescent="0.4">
      <c r="C20" s="117" t="str">
        <f>IF(ISERROR('Activos Não Correntes'!J5),"",'Activos Não Correntes'!J5)</f>
        <v>1.1.1</v>
      </c>
      <c r="D20" s="118" t="str">
        <f>IF(ISERROR('Activos Não Correntes'!K5),"",'Activos Não Correntes'!K5)</f>
        <v>Imobilizações corpóreas</v>
      </c>
      <c r="E20" s="538">
        <f>IF(ISERROR('Activos Não Correntes'!L5),"",'Activos Não Correntes'!L5)</f>
        <v>3423873567.8199997</v>
      </c>
      <c r="F20" s="120">
        <f>IF(ISERROR('Activos Não Correntes'!M5),"",'Activos Não Correntes'!M5)</f>
        <v>0.99388180191777187</v>
      </c>
      <c r="G20" s="117" t="str">
        <f>IF(ISERROR('Activos Não Correntes'!J9),"",'Activos Não Correntes'!J9)</f>
        <v>1.1.5</v>
      </c>
      <c r="H20" s="118" t="str">
        <f>IF(ISERROR('Activos Não Correntes'!K9),"",'Activos Não Correntes'!K9)</f>
        <v>Provisões para Investimentos Financeiros</v>
      </c>
      <c r="I20" s="99">
        <f>IF(ISERROR('Activos Não Correntes'!L9),"",'Activos Não Correntes'!L9)</f>
        <v>0</v>
      </c>
      <c r="J20" s="120">
        <f>IF(ISERROR('Activos Não Correntes'!M9),"",'Activos Não Correntes'!M9)</f>
        <v>0</v>
      </c>
    </row>
    <row r="21" spans="3:10" ht="30" customHeight="1" thickTop="1" thickBot="1" x14ac:dyDescent="0.4">
      <c r="C21" s="117" t="str">
        <f>IF(ISERROR('Activos Não Correntes'!J6),"",'Activos Não Correntes'!J6)</f>
        <v>1.1.2</v>
      </c>
      <c r="D21" s="118" t="str">
        <f>IF(ISERROR('Activos Não Correntes'!K6),"",'Activos Não Correntes'!K6)</f>
        <v>Imobilizações incorpóreas</v>
      </c>
      <c r="E21" s="538">
        <f>IF(ISERROR('Activos Não Correntes'!L6),"",'Activos Não Correntes'!L6)</f>
        <v>21076889.280000031</v>
      </c>
      <c r="F21" s="120">
        <f>IF(ISERROR('Activos Não Correntes'!M6),"",'Activos Não Correntes'!M6)</f>
        <v>6.1181980822280985E-3</v>
      </c>
      <c r="G21" s="117" t="str">
        <f>IF(ISERROR('Activos Não Correntes'!J10),"",'Activos Não Correntes'!J10)</f>
        <v>1.1.6</v>
      </c>
      <c r="H21" s="118" t="str">
        <f>IF(ISERROR('Activos Não Correntes'!K10),"",'Activos Não Correntes'!K10)</f>
        <v>Outros Activos não Correntes</v>
      </c>
      <c r="I21" s="99">
        <f>IF(ISERROR('Activos Não Correntes'!L10),"",'Activos Não Correntes'!L10)</f>
        <v>0</v>
      </c>
      <c r="J21" s="120">
        <f>IF(ISERROR('Activos Não Correntes'!M10),"",'Activos Não Correntes'!M10)</f>
        <v>0</v>
      </c>
    </row>
    <row r="22" spans="3:10" ht="30" customHeight="1" thickTop="1" thickBot="1" x14ac:dyDescent="0.4">
      <c r="C22" s="117" t="str">
        <f>IF(ISERROR('Activos Não Correntes'!J7),"",'Activos Não Correntes'!J7)</f>
        <v>1.1.3</v>
      </c>
      <c r="D22" s="118" t="str">
        <f>IF(ISERROR('Activos Não Correntes'!K7),"",'Activos Não Correntes'!K7)</f>
        <v>Investimentos em Subsidiárias e Associadas</v>
      </c>
      <c r="E22" s="538">
        <f>IF(ISERROR('Activos Não Correntes'!L7),"",'Activos Não Correntes'!L7)</f>
        <v>0</v>
      </c>
      <c r="F22" s="120">
        <f>IF(ISERROR('Activos Não Correntes'!M7),"",'Activos Não Correntes'!M7)</f>
        <v>0</v>
      </c>
      <c r="G22" s="117">
        <f>IF(ISERROR('Activos Não Correntes'!J11),"",'Activos Não Correntes'!J11)</f>
        <v>0</v>
      </c>
      <c r="H22" s="118">
        <f>IF(ISERROR('Activos Não Correntes'!K11),"",'Activos Não Correntes'!K11)</f>
        <v>0</v>
      </c>
      <c r="I22" s="99">
        <f>IF(ISERROR('Activos Não Correntes'!L11),"",'Activos Não Correntes'!L11)</f>
        <v>0</v>
      </c>
      <c r="J22" s="120">
        <f>IF(ISERROR('Activos Não Correntes'!M11),"",'Activos Não Correntes'!M11)</f>
        <v>0</v>
      </c>
    </row>
    <row r="23" spans="3:10" ht="30" customHeight="1" thickTop="1" thickBot="1" x14ac:dyDescent="0.4">
      <c r="C23" s="117" t="str">
        <f>IF(ISERROR('Activos Não Correntes'!J8),"",'Activos Não Correntes'!J8)</f>
        <v>1.1.4</v>
      </c>
      <c r="D23" s="118" t="str">
        <f>IF(ISERROR('Activos Não Correntes'!K8),"",'Activos Não Correntes'!K8)</f>
        <v>Outros Activos Financeiros</v>
      </c>
      <c r="E23" s="538">
        <f>IF(ISERROR('Activos Não Correntes'!L8),"",'Activos Não Correntes'!L8)</f>
        <v>0</v>
      </c>
      <c r="F23" s="120">
        <f>IF(ISERROR('Activos Não Correntes'!M8),"",'Activos Não Correntes'!M8)</f>
        <v>0</v>
      </c>
      <c r="G23" s="117">
        <f>IF(ISERROR('Activos Não Correntes'!J12),"",'Activos Não Correntes'!J12)</f>
        <v>0</v>
      </c>
      <c r="H23" s="118">
        <f>IF(ISERROR('Activos Não Correntes'!K12),"",'Activos Não Correntes'!K12)</f>
        <v>0</v>
      </c>
      <c r="I23" s="99">
        <f>IF(ISERROR('Activos Não Correntes'!L12),"",'Activos Não Correntes'!L12)</f>
        <v>0</v>
      </c>
      <c r="J23" s="120">
        <f>IF(ISERROR('Activos Não Correntes'!M12),"",'Activos Não Correntes'!M12)</f>
        <v>0</v>
      </c>
    </row>
    <row r="24" spans="3:10" ht="30" customHeight="1" thickTop="1" thickBot="1" x14ac:dyDescent="0.4">
      <c r="C24" s="117" t="str">
        <f>IF(ISERROR('Activos Não Correntes'!#REF!),"",'Activos Não Correntes'!#REF!)</f>
        <v/>
      </c>
      <c r="D24" s="118" t="str">
        <f>IF(ISERROR('Activos Não Correntes'!#REF!),"",'Activos Não Correntes'!#REF!)</f>
        <v/>
      </c>
      <c r="E24" s="538" t="str">
        <f>IF(ISERROR('Activos Não Correntes'!#REF!),"",'Activos Não Correntes'!#REF!)</f>
        <v/>
      </c>
      <c r="F24" s="120" t="str">
        <f>IF(ISERROR('Activos Não Correntes'!#REF!),"",'Activos Não Correntes'!#REF!)</f>
        <v/>
      </c>
      <c r="G24" s="713" t="str">
        <f>IF(ISERROR('Activos Não Correntes'!J24),"",'Activos Não Correntes'!J24)</f>
        <v>Total</v>
      </c>
      <c r="H24" s="714"/>
      <c r="I24" s="665">
        <f>IF(ISERROR('Activos Não Correntes'!L24),"",'Activos Não Correntes'!L24)</f>
        <v>3444950457.0999999</v>
      </c>
      <c r="J24" s="666"/>
    </row>
    <row r="25" spans="3:10" ht="30" customHeight="1" thickTop="1" x14ac:dyDescent="0.6">
      <c r="C25" s="43"/>
      <c r="D25" s="44"/>
      <c r="E25" s="44"/>
      <c r="F25" s="44"/>
      <c r="G25" s="44"/>
      <c r="H25" s="44"/>
      <c r="I25" s="44"/>
      <c r="J25" s="44"/>
    </row>
    <row r="26" spans="3:10" ht="30" customHeight="1" thickBot="1" x14ac:dyDescent="0.65">
      <c r="C26" s="43" t="s">
        <v>1703</v>
      </c>
      <c r="D26" s="44"/>
      <c r="E26" s="44"/>
      <c r="F26" s="44"/>
      <c r="G26" s="44"/>
      <c r="H26" s="44"/>
      <c r="I26" s="44"/>
      <c r="J26" s="44"/>
    </row>
    <row r="27" spans="3:10" ht="30" customHeight="1" thickTop="1" thickBot="1" x14ac:dyDescent="0.4">
      <c r="C27" s="92" t="str">
        <f>'Activos Correntes'!J4</f>
        <v>1.2</v>
      </c>
      <c r="D27" s="671" t="s">
        <v>1268</v>
      </c>
      <c r="E27" s="672"/>
      <c r="F27" s="672"/>
      <c r="G27" s="672"/>
      <c r="H27" s="672"/>
      <c r="I27" s="672"/>
      <c r="J27" s="673"/>
    </row>
    <row r="28" spans="3:10" ht="30" customHeight="1" thickTop="1" thickBot="1" x14ac:dyDescent="0.4">
      <c r="C28" s="89" t="str">
        <f>IF(ISERROR('Activos Correntes'!J5),"",'Activos Correntes'!J5)</f>
        <v>1.2.1</v>
      </c>
      <c r="D28" s="121" t="str">
        <f>IF(ISERROR('Activos Correntes'!K5),"",'Activos Correntes'!K5)</f>
        <v>Existências</v>
      </c>
      <c r="E28" s="538">
        <f>IF(ISERROR('Activos Correntes'!L5),"",'Activos Correntes'!L5)</f>
        <v>0</v>
      </c>
      <c r="F28" s="120">
        <f>IF(ISERROR('Activos Correntes'!M5),"",'Activos Correntes'!M5)</f>
        <v>0</v>
      </c>
      <c r="G28" s="89">
        <f>IF(ISERROR('Activos Correntes'!J10),"",'Activos Correntes'!J10)</f>
        <v>0</v>
      </c>
      <c r="H28" s="121">
        <f>IF(ISERROR('Activos Correntes'!K10),"",'Activos Correntes'!K10)</f>
        <v>0</v>
      </c>
      <c r="I28" s="119">
        <f>IF(ISERROR('Activos Correntes'!L10),"",'Activos Correntes'!L10)</f>
        <v>0</v>
      </c>
      <c r="J28" s="122">
        <f>IF(ISERROR('Activos Correntes'!M10),"",'Activos Correntes'!M10)</f>
        <v>0</v>
      </c>
    </row>
    <row r="29" spans="3:10" ht="30" customHeight="1" thickTop="1" thickBot="1" x14ac:dyDescent="0.4">
      <c r="C29" s="89" t="str">
        <f>IF(ISERROR('Activos Correntes'!J6),"",'Activos Correntes'!J6)</f>
        <v>1.2.2</v>
      </c>
      <c r="D29" s="121" t="str">
        <f>IF(ISERROR('Activos Correntes'!K6),"",'Activos Correntes'!K6)</f>
        <v>Contas a Receber</v>
      </c>
      <c r="E29" s="538">
        <f>IF(ISERROR('Activos Correntes'!L6),"",'Activos Correntes'!L6)</f>
        <v>1340212444.23</v>
      </c>
      <c r="F29" s="120">
        <f>IF(ISERROR('Activos Correntes'!M6),"",'Activos Correntes'!M6)</f>
        <v>0.85631482344251542</v>
      </c>
      <c r="G29" s="89">
        <f>IF(ISERROR('Activos Correntes'!J11),"",'Activos Correntes'!J11)</f>
        <v>0</v>
      </c>
      <c r="H29" s="121">
        <f>IF(ISERROR('Activos Correntes'!K11),"",'Activos Correntes'!K11)</f>
        <v>0</v>
      </c>
      <c r="I29" s="119" t="str">
        <f>IF(ISERROR('Activos Correntes'!L11),"",'Activos Correntes'!L11)</f>
        <v/>
      </c>
      <c r="J29" s="122" t="str">
        <f>IF(ISERROR('Activos Correntes'!M11),"",'Activos Correntes'!M11)</f>
        <v/>
      </c>
    </row>
    <row r="30" spans="3:10" ht="30" customHeight="1" thickTop="1" thickBot="1" x14ac:dyDescent="0.4">
      <c r="C30" s="89" t="str">
        <f>IF(ISERROR('Activos Correntes'!J7),"",'Activos Correntes'!J7)</f>
        <v>1.2.3</v>
      </c>
      <c r="D30" s="121" t="str">
        <f>IF(ISERROR('Activos Correntes'!K7),"",'Activos Correntes'!K7)</f>
        <v>Disponibilidades</v>
      </c>
      <c r="E30" s="538">
        <f>IF(ISERROR('Activos Correntes'!L7),"",'Activos Correntes'!L7)</f>
        <v>52657492.650000155</v>
      </c>
      <c r="F30" s="120">
        <f>IF(ISERROR('Activos Correntes'!M7),"",'Activos Correntes'!M7)</f>
        <v>3.3644958092757492E-2</v>
      </c>
      <c r="G30" s="89">
        <f>IF(ISERROR('Activos Correntes'!J12),"",'Activos Correntes'!J12)</f>
        <v>0</v>
      </c>
      <c r="H30" s="121">
        <f>IF(ISERROR('Activos Correntes'!K12),"",'Activos Correntes'!K12)</f>
        <v>0</v>
      </c>
      <c r="I30" s="119" t="str">
        <f>IF(ISERROR('Activos Correntes'!L12),"",'Activos Correntes'!L12)</f>
        <v/>
      </c>
      <c r="J30" s="122" t="str">
        <f>IF(ISERROR('Activos Correntes'!M12),"",'Activos Correntes'!M12)</f>
        <v/>
      </c>
    </row>
    <row r="31" spans="3:10" ht="30" customHeight="1" thickTop="1" thickBot="1" x14ac:dyDescent="0.4">
      <c r="C31" s="89" t="str">
        <f>IF(ISERROR('Activos Correntes'!J8),"",'Activos Correntes'!J8)</f>
        <v>1.2.4</v>
      </c>
      <c r="D31" s="121" t="str">
        <f>IF(ISERROR('Activos Correntes'!K8),"",'Activos Correntes'!K8)</f>
        <v>Outros activos correntes</v>
      </c>
      <c r="E31" s="538">
        <f>IF(ISERROR('Activos Correntes'!L8),"",'Activos Correntes'!L8)</f>
        <v>172223189.54999998</v>
      </c>
      <c r="F31" s="120">
        <f>IF(ISERROR('Activos Correntes'!M8),"",'Activos Correntes'!M8)</f>
        <v>0.11004021846472711</v>
      </c>
      <c r="G31" s="89">
        <f>IF(ISERROR('Activos Correntes'!J13),"",'Activos Correntes'!J13)</f>
        <v>0</v>
      </c>
      <c r="H31" s="121">
        <f>IF(ISERROR('Activos Correntes'!K13),"",'Activos Correntes'!K13)</f>
        <v>0</v>
      </c>
      <c r="I31" s="119" t="str">
        <f>IF(ISERROR('Activos Correntes'!L13),"",'Activos Correntes'!L13)</f>
        <v/>
      </c>
      <c r="J31" s="122" t="str">
        <f>IF(ISERROR('Activos Correntes'!M13),"",'Activos Correntes'!M13)</f>
        <v/>
      </c>
    </row>
    <row r="32" spans="3:10" ht="30" customHeight="1" thickTop="1" thickBot="1" x14ac:dyDescent="0.4">
      <c r="C32" s="89" t="str">
        <f>IF(ISERROR('Activos Correntes'!J9),"",'Activos Correntes'!J9)</f>
        <v>1.2.5</v>
      </c>
      <c r="D32" s="121" t="str">
        <f>IF(ISERROR('Activos Correntes'!K9),"",'Activos Correntes'!K9)</f>
        <v>Estado</v>
      </c>
      <c r="E32" s="538">
        <f>IF(ISERROR('Activos Correntes'!L9),"",'Activos Correntes'!L9)</f>
        <v>0</v>
      </c>
      <c r="F32" s="120">
        <f>IF(ISERROR('Activos Correntes'!M9),"",'Activos Correntes'!M9)</f>
        <v>0</v>
      </c>
      <c r="G32" s="713" t="str">
        <f>IF(ISERROR('Activos Correntes'!J22),"",'Activos Correntes'!J22)</f>
        <v>Total</v>
      </c>
      <c r="H32" s="714"/>
      <c r="I32" s="852">
        <f>IF(ISERROR('Activos Correntes'!L22),"",'Activos Correntes'!L22)</f>
        <v>1565093126.4300001</v>
      </c>
      <c r="J32" s="853"/>
    </row>
    <row r="33" spans="3:10" ht="30" customHeight="1" thickTop="1" x14ac:dyDescent="0.35"/>
    <row r="34" spans="3:10" ht="30" customHeight="1" thickBot="1" x14ac:dyDescent="0.4">
      <c r="C34" s="43" t="s">
        <v>1704</v>
      </c>
    </row>
    <row r="35" spans="3:10" ht="30" customHeight="1" thickTop="1" thickBot="1" x14ac:dyDescent="0.4">
      <c r="C35" s="88" t="str">
        <f>'Passivo Não Corrente'!C4</f>
        <v>2.2</v>
      </c>
      <c r="D35" s="705" t="s">
        <v>1705</v>
      </c>
      <c r="E35" s="706"/>
      <c r="F35" s="706"/>
      <c r="G35" s="88" t="str">
        <f>'Capital Próprio'!J4</f>
        <v>2.1</v>
      </c>
      <c r="H35" s="705" t="s">
        <v>1706</v>
      </c>
      <c r="I35" s="706"/>
      <c r="J35" s="706"/>
    </row>
    <row r="36" spans="3:10" ht="30" customHeight="1" thickTop="1" thickBot="1" x14ac:dyDescent="0.4">
      <c r="C36" s="117" t="str">
        <f>IF(ISERROR('Passivo Não Corrente'!J5),"",'Passivo Não Corrente'!J5)</f>
        <v>2.2.1</v>
      </c>
      <c r="D36" s="118" t="str">
        <f>IF(ISERROR('Passivo Não Corrente'!K5),"",'Passivo Não Corrente'!K5)</f>
        <v>Empréstimos de médio e longo prazos</v>
      </c>
      <c r="E36" s="99">
        <f>IF(ISERROR('Passivo Não Corrente'!L5),"",'Passivo Não Corrente'!L5)</f>
        <v>0</v>
      </c>
      <c r="F36" s="120" t="str">
        <f>IF(ISERROR('Passivo Não Corrente'!M5),"",'Passivo Não Corrente'!M5)</f>
        <v/>
      </c>
      <c r="G36" s="856" t="s">
        <v>1292</v>
      </c>
      <c r="H36" s="857"/>
      <c r="I36" s="858">
        <f>SUM(I37:I41)</f>
        <v>3181566010.0900011</v>
      </c>
      <c r="J36" s="859"/>
    </row>
    <row r="37" spans="3:10" ht="30" customHeight="1" thickTop="1" thickBot="1" x14ac:dyDescent="0.4">
      <c r="C37" s="117" t="str">
        <f>IF(ISERROR('Passivo Não Corrente'!J6),"",'Passivo Não Corrente'!J6)</f>
        <v>2.2.2</v>
      </c>
      <c r="D37" s="118" t="str">
        <f>IF(ISERROR('Passivo Não Corrente'!K6),"",'Passivo Não Corrente'!K6)</f>
        <v>Impostos diferidos</v>
      </c>
      <c r="E37" s="99">
        <f>IF(ISERROR('Passivo Não Corrente'!L6),"",'Passivo Não Corrente'!L6)</f>
        <v>0</v>
      </c>
      <c r="F37" s="120" t="str">
        <f>IF(ISERROR('Passivo Não Corrente'!M6),"",'Passivo Não Corrente'!M6)</f>
        <v/>
      </c>
      <c r="G37" s="117" t="str">
        <f>'Capital Próprio'!J5</f>
        <v>2.1.1</v>
      </c>
      <c r="H37" s="123" t="str">
        <f>'Capital Próprio'!K5</f>
        <v xml:space="preserve">Capital </v>
      </c>
      <c r="I37" s="538">
        <f>'Capital Próprio'!L5</f>
        <v>262500000</v>
      </c>
      <c r="J37" s="120" t="str">
        <f>'Capital Próprio'!M5</f>
        <v/>
      </c>
    </row>
    <row r="38" spans="3:10" ht="30" customHeight="1" thickTop="1" thickBot="1" x14ac:dyDescent="0.4">
      <c r="C38" s="117" t="str">
        <f>IF(ISERROR('Passivo Não Corrente'!J7),"",'Passivo Não Corrente'!J7)</f>
        <v>2.2.3</v>
      </c>
      <c r="D38" s="118" t="str">
        <f>IF(ISERROR('Passivo Não Corrente'!K7),"",'Passivo Não Corrente'!K7)</f>
        <v>Provisões para pensões</v>
      </c>
      <c r="E38" s="99">
        <f>IF(ISERROR('Passivo Não Corrente'!L7),"",'Passivo Não Corrente'!L7)</f>
        <v>0</v>
      </c>
      <c r="F38" s="120" t="str">
        <f>IF(ISERROR('Passivo Não Corrente'!M7),"",'Passivo Não Corrente'!M7)</f>
        <v/>
      </c>
      <c r="G38" s="117" t="str">
        <f>'Capital Próprio'!J6</f>
        <v>2.1.2</v>
      </c>
      <c r="H38" s="123" t="str">
        <f>'Capital Próprio'!K6</f>
        <v>Reservas</v>
      </c>
      <c r="I38" s="538">
        <f>'Capital Próprio'!L6</f>
        <v>0</v>
      </c>
      <c r="J38" s="120" t="str">
        <f>'Capital Próprio'!M6</f>
        <v/>
      </c>
    </row>
    <row r="39" spans="3:10" ht="30" customHeight="1" thickTop="1" thickBot="1" x14ac:dyDescent="0.4">
      <c r="C39" s="117" t="str">
        <f>IF(ISERROR('Passivo Não Corrente'!J8),"",'Passivo Não Corrente'!J8)</f>
        <v>2.2.4</v>
      </c>
      <c r="D39" s="118" t="str">
        <f>IF(ISERROR('Passivo Não Corrente'!K8),"",'Passivo Não Corrente'!K8)</f>
        <v>Provisões para outros riscos e encagos</v>
      </c>
      <c r="E39" s="99">
        <f>IF(ISERROR('Passivo Não Corrente'!L8),"",'Passivo Não Corrente'!L8)</f>
        <v>0</v>
      </c>
      <c r="F39" s="120" t="str">
        <f>IF(ISERROR('Passivo Não Corrente'!M8),"",'Passivo Não Corrente'!M8)</f>
        <v/>
      </c>
      <c r="G39" s="117" t="str">
        <f>'Capital Próprio'!J7</f>
        <v>2.1.3</v>
      </c>
      <c r="H39" s="123" t="str">
        <f>'Capital Próprio'!K7</f>
        <v>Resultados transitados</v>
      </c>
      <c r="I39" s="538">
        <f>'Capital Próprio'!L7</f>
        <v>4593266203.0400009</v>
      </c>
      <c r="J39" s="120" t="str">
        <f>'Capital Próprio'!M7</f>
        <v/>
      </c>
    </row>
    <row r="40" spans="3:10" ht="30" customHeight="1" thickTop="1" thickBot="1" x14ac:dyDescent="0.4">
      <c r="C40" s="117" t="str">
        <f>IF(ISERROR('Passivo Não Corrente'!J9),"",'Passivo Não Corrente'!J9)</f>
        <v>2.2.5</v>
      </c>
      <c r="D40" s="118" t="str">
        <f>IF(ISERROR('Passivo Não Corrente'!K9),"",'Passivo Não Corrente'!K9)</f>
        <v>Outros passivos não correntes</v>
      </c>
      <c r="E40" s="99">
        <f>IF(ISERROR('Passivo Não Corrente'!L9),"",'Passivo Não Corrente'!L9)</f>
        <v>0</v>
      </c>
      <c r="F40" s="120" t="str">
        <f>IF(ISERROR('Passivo Não Corrente'!M9),"",'Passivo Não Corrente'!M9)</f>
        <v/>
      </c>
      <c r="G40" s="117" t="str">
        <f>'Capital Próprio'!J8</f>
        <v>2.1.4</v>
      </c>
      <c r="H40" s="123" t="str">
        <f>'Capital Próprio'!K8</f>
        <v>Resultados do exercício</v>
      </c>
      <c r="I40" s="538">
        <f>'Capital Próprio'!L8</f>
        <v>-1674200192.9499998</v>
      </c>
      <c r="J40" s="120" t="str">
        <f>'Capital Próprio'!M8</f>
        <v/>
      </c>
    </row>
    <row r="41" spans="3:10" ht="30" customHeight="1" thickTop="1" thickBot="1" x14ac:dyDescent="0.4">
      <c r="C41" s="117">
        <f>IF(ISERROR('Passivo Não Corrente'!J10),"",'Passivo Não Corrente'!J10)</f>
        <v>0</v>
      </c>
      <c r="D41" s="118">
        <f>IF(ISERROR('Passivo Não Corrente'!K10),"",'Passivo Não Corrente'!K10)</f>
        <v>0</v>
      </c>
      <c r="E41" s="99">
        <f>IF(ISERROR('Passivo Não Corrente'!L10),"",'Passivo Não Corrente'!L10)</f>
        <v>0</v>
      </c>
      <c r="F41" s="120" t="str">
        <f>IF(ISERROR('Passivo Não Corrente'!M10),"",'Passivo Não Corrente'!M10)</f>
        <v/>
      </c>
      <c r="G41" s="117">
        <f>'Capital Próprio'!J9</f>
        <v>0</v>
      </c>
      <c r="H41" s="123">
        <f>'Capital Próprio'!K9</f>
        <v>0</v>
      </c>
      <c r="I41" s="99" t="str">
        <f>'Capital Próprio'!L9</f>
        <v/>
      </c>
      <c r="J41" s="120" t="str">
        <f>'Capital Próprio'!M9</f>
        <v/>
      </c>
    </row>
    <row r="42" spans="3:10" ht="30" customHeight="1" thickTop="1" thickBot="1" x14ac:dyDescent="0.4">
      <c r="C42" s="854" t="s">
        <v>1707</v>
      </c>
      <c r="D42" s="855"/>
      <c r="E42" s="665">
        <f>SUM(E36:E41)</f>
        <v>0</v>
      </c>
      <c r="F42" s="666"/>
      <c r="G42" s="713" t="s">
        <v>1253</v>
      </c>
      <c r="H42" s="714"/>
      <c r="I42" s="665">
        <f>E42+I36</f>
        <v>3181566010.0900011</v>
      </c>
      <c r="J42" s="666"/>
    </row>
    <row r="43" spans="3:10" ht="30" customHeight="1" thickTop="1" x14ac:dyDescent="0.35">
      <c r="C43" s="13"/>
    </row>
    <row r="44" spans="3:10" ht="30" customHeight="1" thickBot="1" x14ac:dyDescent="0.4">
      <c r="C44" s="43" t="s">
        <v>1708</v>
      </c>
    </row>
    <row r="45" spans="3:10" ht="30" customHeight="1" thickTop="1" thickBot="1" x14ac:dyDescent="0.4">
      <c r="C45" s="88" t="str">
        <f>'Passivo Corrente'!J4</f>
        <v>2.3</v>
      </c>
      <c r="D45" s="705" t="s">
        <v>1709</v>
      </c>
      <c r="E45" s="706"/>
      <c r="F45" s="706"/>
      <c r="G45" s="706"/>
      <c r="H45" s="706"/>
      <c r="I45" s="706"/>
      <c r="J45" s="707"/>
    </row>
    <row r="46" spans="3:10" ht="30" customHeight="1" thickTop="1" thickBot="1" x14ac:dyDescent="0.4">
      <c r="C46" s="117" t="str">
        <f>IF(ISERROR('Passivo Corrente'!J5),"",'Passivo Corrente'!J5)</f>
        <v>2.3.1</v>
      </c>
      <c r="D46" s="118" t="str">
        <f>IF(ISERROR('Passivo Corrente'!K5),"",'Passivo Corrente'!K5)</f>
        <v>Contas a pagar</v>
      </c>
      <c r="E46" s="99">
        <f>IF(ISERROR('Passivo Corrente'!L5),"",'Passivo Corrente'!L5)</f>
        <v>1006980995.0899999</v>
      </c>
      <c r="F46" s="120">
        <f>IF(ISERROR('Passivo Corrente'!M5),"",'Passivo Corrente'!M5)</f>
        <v>-394.4077329478211</v>
      </c>
      <c r="G46" s="117" t="str">
        <f>IF(ISERROR('Passivo Corrente'!J10),"",'Passivo Corrente'!J10)</f>
        <v>2.3.6</v>
      </c>
      <c r="H46" s="118" t="str">
        <f>IF(ISERROR('Passivo Corrente'!K10),"",'Passivo Corrente'!K10)</f>
        <v>Estado</v>
      </c>
      <c r="I46" s="99">
        <f>IF(ISERROR('Passivo Corrente'!L10),"",'Passivo Corrente'!L10)</f>
        <v>487794092.52000004</v>
      </c>
      <c r="J46" s="120">
        <f>IF(ISERROR('Passivo Corrente'!M10),"",'Passivo Corrente'!M10)</f>
        <v>-191.05600117006966</v>
      </c>
    </row>
    <row r="47" spans="3:10" ht="30" customHeight="1" thickTop="1" thickBot="1" x14ac:dyDescent="0.4">
      <c r="C47" s="117" t="str">
        <f>IF(ISERROR('Passivo Corrente'!J6),"",'Passivo Corrente'!J6)</f>
        <v>2.3.2</v>
      </c>
      <c r="D47" s="118" t="str">
        <f>IF(ISERROR('Passivo Corrente'!K6),"",'Passivo Corrente'!K6)</f>
        <v>Participantes e Participadas</v>
      </c>
      <c r="E47" s="99">
        <f>IF(ISERROR('Passivo Corrente'!L6),"",'Passivo Corrente'!L6)</f>
        <v>0</v>
      </c>
      <c r="F47" s="120">
        <f>IF(ISERROR('Passivo Corrente'!M6),"",'Passivo Corrente'!M6)</f>
        <v>0</v>
      </c>
      <c r="G47" s="117" t="str">
        <f>IF(ISERROR('Passivo Corrente'!J11),"",'Passivo Corrente'!J11)</f>
        <v>2.3.7</v>
      </c>
      <c r="H47" s="118" t="str">
        <f>IF(ISERROR('Passivo Corrente'!K11),"",'Passivo Corrente'!K11)</f>
        <v>Outros Passivos Correntes</v>
      </c>
      <c r="I47" s="99">
        <f>IF(ISERROR('Passivo Corrente'!L11),"",'Passivo Corrente'!L11)</f>
        <v>443261193.25</v>
      </c>
      <c r="J47" s="120">
        <f>IF(ISERROR('Passivo Corrente'!M11),"",'Passivo Corrente'!M11)</f>
        <v>-173.61364632095496</v>
      </c>
    </row>
    <row r="48" spans="3:10" ht="30" customHeight="1" thickTop="1" thickBot="1" x14ac:dyDescent="0.4">
      <c r="C48" s="117" t="str">
        <f>IF(ISERROR('Passivo Corrente'!J7),"",'Passivo Corrente'!J7)</f>
        <v>2.3.3</v>
      </c>
      <c r="D48" s="118" t="str">
        <f>IF(ISERROR('Passivo Corrente'!K7),"",'Passivo Corrente'!K7)</f>
        <v>Pessoal</v>
      </c>
      <c r="E48" s="99">
        <f>IF(ISERROR('Passivo Corrente'!L7),"",'Passivo Corrente'!L7)</f>
        <v>0</v>
      </c>
      <c r="F48" s="120">
        <f>IF(ISERROR('Passivo Corrente'!M7),"",'Passivo Corrente'!M7)</f>
        <v>0</v>
      </c>
      <c r="G48" s="117">
        <f>IF(ISERROR('Passivo Corrente'!J12),"",'Passivo Corrente'!J12)</f>
        <v>0</v>
      </c>
      <c r="H48" s="118">
        <f>IF(ISERROR('Passivo Corrente'!K12),"",'Passivo Corrente'!K12)</f>
        <v>0</v>
      </c>
      <c r="I48" s="99">
        <f>IF(ISERROR('Passivo Corrente'!L12),"",'Passivo Corrente'!L12)</f>
        <v>0</v>
      </c>
      <c r="J48" s="120">
        <f>IF(ISERROR('Passivo Corrente'!M12),"",'Passivo Corrente'!M12)</f>
        <v>0</v>
      </c>
    </row>
    <row r="49" spans="3:10" ht="30" customHeight="1" thickTop="1" thickBot="1" x14ac:dyDescent="0.4">
      <c r="C49" s="117" t="str">
        <f>IF(ISERROR('Passivo Corrente'!J8),"",'Passivo Corrente'!J8)</f>
        <v>2.3.4</v>
      </c>
      <c r="D49" s="118" t="str">
        <f>IF(ISERROR('Passivo Corrente'!K8),"",'Passivo Corrente'!K8)</f>
        <v>Empréstimos de Curto Prazo</v>
      </c>
      <c r="E49" s="99">
        <f>IF(ISERROR('Passivo Corrente'!L8),"",'Passivo Corrente'!L8)</f>
        <v>0</v>
      </c>
      <c r="F49" s="120">
        <f>IF(ISERROR('Passivo Corrente'!M8),"",'Passivo Corrente'!M8)</f>
        <v>0</v>
      </c>
      <c r="G49" s="117">
        <f>IF(ISERROR('Passivo Corrente'!J13),"",'Passivo Corrente'!J13)</f>
        <v>0</v>
      </c>
      <c r="H49" s="118">
        <f>IF(ISERROR('Passivo Corrente'!K13),"",'Passivo Corrente'!K13)</f>
        <v>0</v>
      </c>
      <c r="I49" s="99">
        <f>IF(ISERROR('Passivo Corrente'!L13),"",'Passivo Corrente'!L13)</f>
        <v>0</v>
      </c>
      <c r="J49" s="120">
        <f>IF(ISERROR('Passivo Corrente'!M13),"",'Passivo Corrente'!M13)</f>
        <v>0</v>
      </c>
    </row>
    <row r="50" spans="3:10" ht="30" customHeight="1" thickTop="1" thickBot="1" x14ac:dyDescent="0.4">
      <c r="C50" s="117" t="str">
        <f>IF(ISERROR('Passivo Corrente'!J9),"",'Passivo Corrente'!J9)</f>
        <v>2.3.5</v>
      </c>
      <c r="D50" s="118" t="str">
        <f>IF(ISERROR('Passivo Corrente'!K9),"",'Passivo Corrente'!K9)</f>
        <v>Parte Correspondente dos Empréstimos de Médio e Longo Prazo</v>
      </c>
      <c r="E50" s="99">
        <f>IF(ISERROR('Passivo Corrente'!L9),"",'Passivo Corrente'!L9)</f>
        <v>0</v>
      </c>
      <c r="F50" s="120">
        <f>IF(ISERROR('Passivo Corrente'!M9),"",'Passivo Corrente'!M9)</f>
        <v>0</v>
      </c>
      <c r="G50" s="713" t="str">
        <f>IF(ISERROR('Passivo Corrente'!J25),"",'Passivo Corrente'!J25)</f>
        <v>Total</v>
      </c>
      <c r="H50" s="714"/>
      <c r="I50" s="665">
        <f>IF(ISERROR('Passivo Corrente'!L25),"",'Passivo Corrente'!L25)</f>
        <v>1938036280.8599999</v>
      </c>
      <c r="J50" s="666"/>
    </row>
    <row r="51" spans="3:10" ht="30" customHeight="1" thickTop="1" x14ac:dyDescent="0.35"/>
    <row r="52" spans="3:10" ht="30" customHeight="1" x14ac:dyDescent="0.35"/>
    <row r="53" spans="3:10" ht="30" customHeight="1" thickBot="1" x14ac:dyDescent="0.4">
      <c r="C53" s="43" t="s">
        <v>1710</v>
      </c>
    </row>
    <row r="54" spans="3:10" ht="30" customHeight="1" thickTop="1" thickBot="1" x14ac:dyDescent="0.4">
      <c r="C54" s="671" t="s">
        <v>1711</v>
      </c>
      <c r="D54" s="672"/>
      <c r="E54" s="672"/>
      <c r="F54" s="672"/>
    </row>
    <row r="55" spans="3:10" ht="30" customHeight="1" thickTop="1" thickBot="1" x14ac:dyDescent="0.4">
      <c r="C55" s="651" t="s">
        <v>1712</v>
      </c>
      <c r="D55" s="651"/>
      <c r="E55" s="665">
        <f>'Balanço Patrimonial'!E37:F37</f>
        <v>5010043583.5299997</v>
      </c>
      <c r="F55" s="666"/>
    </row>
    <row r="56" spans="3:10" ht="30" customHeight="1" thickTop="1" thickBot="1" x14ac:dyDescent="0.4">
      <c r="C56" s="651" t="s">
        <v>1713</v>
      </c>
      <c r="D56" s="651"/>
      <c r="E56" s="665">
        <f>'Balanço Patrimonial'!E38:F38</f>
        <v>5119602290.9500008</v>
      </c>
      <c r="F56" s="666"/>
    </row>
    <row r="57" spans="3:10" ht="30" customHeight="1" thickTop="1" x14ac:dyDescent="0.35"/>
    <row r="58" spans="3:10" ht="30" customHeight="1" thickBot="1" x14ac:dyDescent="0.4">
      <c r="C58" s="43" t="s">
        <v>1714</v>
      </c>
    </row>
    <row r="59" spans="3:10" ht="30" customHeight="1" thickTop="1" thickBot="1" x14ac:dyDescent="0.4">
      <c r="C59" s="92">
        <v>3</v>
      </c>
      <c r="D59" s="671" t="s">
        <v>1417</v>
      </c>
      <c r="E59" s="672"/>
      <c r="F59" s="672"/>
      <c r="G59" s="672"/>
      <c r="H59" s="672"/>
      <c r="I59" s="672"/>
      <c r="J59" s="673"/>
    </row>
    <row r="60" spans="3:10" ht="30" customHeight="1" thickTop="1" thickBot="1" x14ac:dyDescent="0.4">
      <c r="C60" s="117" t="str">
        <f>IF(ISERROR('Proveitos por Natureza'!J5),"",'Proveitos por Natureza'!J5)</f>
        <v>3.1</v>
      </c>
      <c r="D60" s="118" t="str">
        <f>IF(ISERROR('Proveitos por Natureza'!K5),"",'Proveitos por Natureza'!K5)</f>
        <v>Vendas</v>
      </c>
      <c r="E60" s="99">
        <f>IF(ISERROR('Proveitos por Natureza'!L5),"",'Proveitos por Natureza'!L5)</f>
        <v>0</v>
      </c>
      <c r="F60" s="120" t="str">
        <f>IF(ISERROR('Proveitos por Natureza'!M5),"",'Proveitos por Natureza'!M5)</f>
        <v/>
      </c>
      <c r="G60" s="117" t="str">
        <f>IF(ISERROR('Proveitos por Natureza'!J10),"",'Proveitos por Natureza'!J10)</f>
        <v>3.6</v>
      </c>
      <c r="H60" s="118" t="str">
        <f>IF(ISERROR('Proveitos por Natureza'!K10),"",'Proveitos por Natureza'!K10)</f>
        <v>Proveitos e Ganhos Financeiros Gerais</v>
      </c>
      <c r="I60" s="99">
        <f>IF(ISERROR('Proveitos por Natureza'!L10),"",'Proveitos por Natureza'!L10)</f>
        <v>10089891.130000001</v>
      </c>
      <c r="J60" s="120" t="str">
        <f>IF(ISERROR('Proveitos por Natureza'!M10),"",'Proveitos por Natureza'!M10)</f>
        <v/>
      </c>
    </row>
    <row r="61" spans="3:10" ht="30" customHeight="1" thickTop="1" thickBot="1" x14ac:dyDescent="0.4">
      <c r="C61" s="117" t="str">
        <f>IF(ISERROR('Proveitos por Natureza'!J6),"",'Proveitos por Natureza'!J6)</f>
        <v>3.2</v>
      </c>
      <c r="D61" s="118" t="str">
        <f>IF(ISERROR('Proveitos por Natureza'!K6),"",'Proveitos por Natureza'!K6)</f>
        <v>Prestações de Serviço</v>
      </c>
      <c r="E61" s="99">
        <f>IF(ISERROR('Proveitos por Natureza'!L6),"",'Proveitos por Natureza'!L6)</f>
        <v>1769212327.72</v>
      </c>
      <c r="F61" s="120" t="str">
        <f>IF(ISERROR('Proveitos por Natureza'!M6),"",'Proveitos por Natureza'!M6)</f>
        <v/>
      </c>
      <c r="G61" s="117" t="str">
        <f>IF(ISERROR('Proveitos por Natureza'!J11),"",'Proveitos por Natureza'!J11)</f>
        <v>3.7</v>
      </c>
      <c r="H61" s="118" t="str">
        <f>IF(ISERROR('Proveitos por Natureza'!K11),"",'Proveitos por Natureza'!K11)</f>
        <v>Proveitos e Ganhos Financeiros em Susidiárias e Associadas</v>
      </c>
      <c r="I61" s="99">
        <f>IF(ISERROR('Proveitos por Natureza'!L11),"",'Proveitos por Natureza'!L11)</f>
        <v>0</v>
      </c>
      <c r="J61" s="120" t="str">
        <f>IF(ISERROR('Proveitos por Natureza'!M11),"",'Proveitos por Natureza'!M11)</f>
        <v/>
      </c>
    </row>
    <row r="62" spans="3:10" ht="30" customHeight="1" thickTop="1" thickBot="1" x14ac:dyDescent="0.4">
      <c r="C62" s="117" t="str">
        <f>IF(ISERROR('Proveitos por Natureza'!J7),"",'Proveitos por Natureza'!J7)</f>
        <v>3.3</v>
      </c>
      <c r="D62" s="118" t="str">
        <f>IF(ISERROR('Proveitos por Natureza'!K7),"",'Proveitos por Natureza'!K7)</f>
        <v>Outros Proveitos Operacionais</v>
      </c>
      <c r="E62" s="99">
        <f>IF(ISERROR('Proveitos por Natureza'!L7),"",'Proveitos por Natureza'!L7)</f>
        <v>3062918878.1999998</v>
      </c>
      <c r="F62" s="120" t="str">
        <f>IF(ISERROR('Proveitos por Natureza'!M7),"",'Proveitos por Natureza'!M7)</f>
        <v/>
      </c>
      <c r="G62" s="117" t="str">
        <f>IF(ISERROR('Proveitos por Natureza'!J12),"",'Proveitos por Natureza'!J12)</f>
        <v>3.8</v>
      </c>
      <c r="H62" s="118" t="str">
        <f>IF(ISERROR('Proveitos por Natureza'!K12),"",'Proveitos por Natureza'!K12)</f>
        <v>Outros Proveitos e Ganhos não Operacionais</v>
      </c>
      <c r="I62" s="99">
        <f>IF(ISERROR('Proveitos por Natureza'!L12),"",'Proveitos por Natureza'!L12)</f>
        <v>25000000</v>
      </c>
      <c r="J62" s="120" t="str">
        <f>IF(ISERROR('Proveitos por Natureza'!M12),"",'Proveitos por Natureza'!M12)</f>
        <v/>
      </c>
    </row>
    <row r="63" spans="3:10" ht="30" customHeight="1" thickTop="1" thickBot="1" x14ac:dyDescent="0.4">
      <c r="C63" s="117" t="str">
        <f>IF(ISERROR('Proveitos por Natureza'!J8),"",'Proveitos por Natureza'!J8)</f>
        <v>3.4</v>
      </c>
      <c r="D63" s="118" t="str">
        <f>IF(ISERROR('Proveitos por Natureza'!K8),"",'Proveitos por Natureza'!K8)</f>
        <v>Varição nos Produtos Acabados e Produtos em Vias de Fabrico</v>
      </c>
      <c r="E63" s="99">
        <f>IF(ISERROR('Proveitos por Natureza'!L8),"",'Proveitos por Natureza'!L8)</f>
        <v>0</v>
      </c>
      <c r="F63" s="120" t="str">
        <f>IF(ISERROR('Proveitos por Natureza'!M8),"",'Proveitos por Natureza'!M8)</f>
        <v/>
      </c>
      <c r="G63" s="117" t="str">
        <f>IF(ISERROR('Proveitos por Natureza'!J13),"",'Proveitos por Natureza'!J13)</f>
        <v>3.9</v>
      </c>
      <c r="H63" s="118" t="str">
        <f>IF(ISERROR('Proveitos por Natureza'!K13),"",'Proveitos por Natureza'!K13)</f>
        <v>Proveitos e Ganhos Extraordinários</v>
      </c>
      <c r="I63" s="99">
        <f>IF(ISERROR('Proveitos por Natureza'!L13),"",'Proveitos por Natureza'!L13)</f>
        <v>0</v>
      </c>
      <c r="J63" s="120" t="str">
        <f>IF(ISERROR('Proveitos por Natureza'!M13),"",'Proveitos por Natureza'!M13)</f>
        <v/>
      </c>
    </row>
    <row r="64" spans="3:10" ht="30" customHeight="1" thickTop="1" thickBot="1" x14ac:dyDescent="0.4">
      <c r="C64" s="117" t="str">
        <f>IF(ISERROR('Proveitos por Natureza'!J9),"",'Proveitos por Natureza'!J9)</f>
        <v>3.5</v>
      </c>
      <c r="D64" s="118" t="str">
        <f>IF(ISERROR('Proveitos por Natureza'!K9),"",'Proveitos por Natureza'!K9)</f>
        <v>Trabalhos para a Própria Empresa</v>
      </c>
      <c r="E64" s="99">
        <f>IF(ISERROR('Proveitos por Natureza'!L9),"",'Proveitos por Natureza'!L9)</f>
        <v>0</v>
      </c>
      <c r="F64" s="120" t="str">
        <f>IF(ISERROR('Proveitos por Natureza'!M9),"",'Proveitos por Natureza'!M9)</f>
        <v/>
      </c>
      <c r="G64" s="713" t="str">
        <f>IF(ISERROR('Proveitos por Natureza'!J16),"",'Proveitos por Natureza'!J16)</f>
        <v>Total</v>
      </c>
      <c r="H64" s="714"/>
      <c r="I64" s="849">
        <f>IF(ISERROR('Proveitos por Natureza'!L16),"",'Proveitos por Natureza'!L16)</f>
        <v>4867221097.0500002</v>
      </c>
      <c r="J64" s="850"/>
    </row>
    <row r="65" spans="3:10" ht="30" customHeight="1" thickTop="1" x14ac:dyDescent="0.35"/>
    <row r="66" spans="3:10" ht="30" customHeight="1" thickBot="1" x14ac:dyDescent="0.4">
      <c r="C66" s="43" t="s">
        <v>1715</v>
      </c>
    </row>
    <row r="67" spans="3:10" ht="30" customHeight="1" thickTop="1" thickBot="1" x14ac:dyDescent="0.4">
      <c r="C67" s="92">
        <v>4</v>
      </c>
      <c r="D67" s="671" t="s">
        <v>1509</v>
      </c>
      <c r="E67" s="672"/>
      <c r="F67" s="672"/>
      <c r="G67" s="672"/>
      <c r="H67" s="672"/>
      <c r="I67" s="672"/>
      <c r="J67" s="673"/>
    </row>
    <row r="68" spans="3:10" ht="30" customHeight="1" thickTop="1" thickBot="1" x14ac:dyDescent="0.4">
      <c r="C68" s="117" t="str">
        <f>IF(ISERROR('Custos por Natureza'!J5),"",'Custos por Natureza'!J5)</f>
        <v>4.1</v>
      </c>
      <c r="D68" s="118" t="str">
        <f>IF(ISERROR('Custos por Natureza'!K5),"",'Custos por Natureza'!K5)</f>
        <v>Custo das Mercadorias Vendidas e das Matérias-primas Consumidas</v>
      </c>
      <c r="E68" s="99">
        <f>IF(ISERROR('Custos por Natureza'!L5),"",'Custos por Natureza'!L5)</f>
        <v>179684780.97</v>
      </c>
      <c r="F68" s="120" t="str">
        <f>IF(ISERROR('Custos por Natureza'!M5),"",'Custos por Natureza'!M5)</f>
        <v/>
      </c>
      <c r="G68" s="117" t="str">
        <f>IF(ISERROR('Custos por Natureza'!J10),"",'Custos por Natureza'!J10)</f>
        <v>4.6</v>
      </c>
      <c r="H68" s="118" t="str">
        <f>IF(ISERROR('Custos por Natureza'!K10),"",'Custos por Natureza'!K10)</f>
        <v>Custos e Perdas Financeiras para Filiais e Associadas</v>
      </c>
      <c r="I68" s="99">
        <f>IF(ISERROR('Custos por Natureza'!L10),"",'Custos por Natureza'!L10)</f>
        <v>0</v>
      </c>
      <c r="J68" s="120" t="str">
        <f>IF(ISERROR('Custos por Natureza'!M10),"",'Custos por Natureza'!M10)</f>
        <v/>
      </c>
    </row>
    <row r="69" spans="3:10" ht="30" customHeight="1" thickTop="1" thickBot="1" x14ac:dyDescent="0.4">
      <c r="C69" s="117" t="str">
        <f>IF(ISERROR('Custos por Natureza'!J6),"",'Custos por Natureza'!J6)</f>
        <v>4.2</v>
      </c>
      <c r="D69" s="118" t="str">
        <f>IF(ISERROR('Custos por Natureza'!K6),"",'Custos por Natureza'!K6)</f>
        <v>Custos com o Pessoal</v>
      </c>
      <c r="E69" s="99">
        <f>IF(ISERROR('Custos por Natureza'!L6),"",'Custos por Natureza'!L6)</f>
        <v>3317851310.2799997</v>
      </c>
      <c r="F69" s="120" t="str">
        <f>IF(ISERROR('Custos por Natureza'!M6),"",'Custos por Natureza'!M6)</f>
        <v/>
      </c>
      <c r="G69" s="117" t="str">
        <f>IF(ISERROR('Custos por Natureza'!J11),"",'Custos por Natureza'!J11)</f>
        <v>4.7</v>
      </c>
      <c r="H69" s="118" t="str">
        <f>IF(ISERROR('Custos por Natureza'!K11),"",'Custos por Natureza'!K11)</f>
        <v>Outros Custos e Perdas não Operacionais</v>
      </c>
      <c r="I69" s="99">
        <f>IF(ISERROR('Custos por Natureza'!L11),"",'Custos por Natureza'!L11)</f>
        <v>1019425796.13</v>
      </c>
      <c r="J69" s="120" t="str">
        <f>IF(ISERROR('Custos por Natureza'!M11),"",'Custos por Natureza'!M11)</f>
        <v/>
      </c>
    </row>
    <row r="70" spans="3:10" ht="30" customHeight="1" thickTop="1" thickBot="1" x14ac:dyDescent="0.4">
      <c r="C70" s="117" t="str">
        <f>IF(ISERROR('Custos por Natureza'!J7),"",'Custos por Natureza'!J7)</f>
        <v>4.3</v>
      </c>
      <c r="D70" s="118" t="str">
        <f>IF(ISERROR('Custos por Natureza'!K7),"",'Custos por Natureza'!K7)</f>
        <v>Amortizações do Exercício</v>
      </c>
      <c r="E70" s="99">
        <f>IF(ISERROR('Custos por Natureza'!L7),"",'Custos por Natureza'!L7)</f>
        <v>508397950.43000001</v>
      </c>
      <c r="F70" s="120" t="str">
        <f>IF(ISERROR('Custos por Natureza'!M7),"",'Custos por Natureza'!M7)</f>
        <v/>
      </c>
      <c r="G70" s="117" t="str">
        <f>IF(ISERROR('Custos por Natureza'!J12),"",'Custos por Natureza'!J12)</f>
        <v>4.8</v>
      </c>
      <c r="H70" s="118" t="str">
        <f>IF(ISERROR('Custos por Natureza'!K12),"",'Custos por Natureza'!K12)</f>
        <v>Custos e Perdas Extraordinários</v>
      </c>
      <c r="I70" s="99">
        <f>IF(ISERROR('Custos por Natureza'!L12),"",'Custos por Natureza'!L12)</f>
        <v>0</v>
      </c>
      <c r="J70" s="120" t="str">
        <f>IF(ISERROR('Custos por Natureza'!M12),"",'Custos por Natureza'!M12)</f>
        <v/>
      </c>
    </row>
    <row r="71" spans="3:10" ht="30" customHeight="1" thickTop="1" thickBot="1" x14ac:dyDescent="0.4">
      <c r="C71" s="117" t="str">
        <f>IF(ISERROR('Custos por Natureza'!J8),"",'Custos por Natureza'!J8)</f>
        <v>4.4</v>
      </c>
      <c r="D71" s="118" t="str">
        <f>IF(ISERROR('Custos por Natureza'!K8),"",'Custos por Natureza'!K8)</f>
        <v>Outros Custos e Perdas Operacionais</v>
      </c>
      <c r="E71" s="99">
        <f>IF(ISERROR('Custos por Natureza'!L8),"",'Custos por Natureza'!L8)</f>
        <v>1500182672.03</v>
      </c>
      <c r="F71" s="120" t="str">
        <f>IF(ISERROR('Custos por Natureza'!M8),"",'Custos por Natureza'!M8)</f>
        <v/>
      </c>
      <c r="G71" s="117">
        <f>IF(ISERROR('Custos por Natureza'!J13),"",'Custos por Natureza'!J13)</f>
        <v>0</v>
      </c>
      <c r="H71" s="118">
        <f>IF(ISERROR('Custos por Natureza'!K13),"",'Custos por Natureza'!K13)</f>
        <v>0</v>
      </c>
      <c r="I71" s="99">
        <f>IF(ISERROR('Custos por Natureza'!L13),"",'Custos por Natureza'!L13)</f>
        <v>0</v>
      </c>
      <c r="J71" s="120" t="str">
        <f>IF(ISERROR('Custos por Natureza'!M13),"",'Custos por Natureza'!M13)</f>
        <v/>
      </c>
    </row>
    <row r="72" spans="3:10" ht="30" customHeight="1" thickTop="1" thickBot="1" x14ac:dyDescent="0.4">
      <c r="C72" s="117" t="str">
        <f>IF(ISERROR('Custos por Natureza'!J9),"",'Custos por Natureza'!J9)</f>
        <v>4.5</v>
      </c>
      <c r="D72" s="118" t="str">
        <f>IF(ISERROR('Custos por Natureza'!K9),"",'Custos por Natureza'!K9)</f>
        <v>Custos e Perdas Financeiras Gerais</v>
      </c>
      <c r="E72" s="99">
        <f>IF(ISERROR('Custos por Natureza'!L9),"",'Custos por Natureza'!L9)</f>
        <v>15878780.16</v>
      </c>
      <c r="F72" s="120" t="str">
        <f>IF(ISERROR('Custos por Natureza'!M9),"",'Custos por Natureza'!M9)</f>
        <v/>
      </c>
      <c r="G72" s="713" t="str">
        <f>IF(ISERROR('Custos por Natureza'!J16),"",'Custos por Natureza'!J16)</f>
        <v>Total</v>
      </c>
      <c r="H72" s="714"/>
      <c r="I72" s="703">
        <f>IF(ISERROR('Custos por Natureza'!L16),"",'Custos por Natureza'!L16)</f>
        <v>6541421289.999999</v>
      </c>
      <c r="J72" s="703"/>
    </row>
    <row r="73" spans="3:10" ht="30" customHeight="1" thickTop="1" x14ac:dyDescent="0.35"/>
    <row r="74" spans="3:10" ht="30" customHeight="1" thickBot="1" x14ac:dyDescent="0.4">
      <c r="C74" s="43" t="s">
        <v>1716</v>
      </c>
    </row>
    <row r="75" spans="3:10" ht="30" customHeight="1" thickTop="1" thickBot="1" x14ac:dyDescent="0.4">
      <c r="C75" s="671" t="s">
        <v>1512</v>
      </c>
      <c r="D75" s="672"/>
      <c r="E75" s="672"/>
      <c r="F75" s="672"/>
    </row>
    <row r="76" spans="3:10" ht="30" customHeight="1" thickTop="1" thickBot="1" x14ac:dyDescent="0.4">
      <c r="C76" s="847" t="s">
        <v>1717</v>
      </c>
      <c r="D76" s="848"/>
      <c r="E76" s="111">
        <f>IF(ISERROR(DRE!E17),"",DRE!E17)</f>
        <v>4867221097.0500002</v>
      </c>
      <c r="F76" s="124">
        <f>IF(ISERROR(DRE!F17),"",DRE!F17)</f>
        <v>0.42662579226559022</v>
      </c>
    </row>
    <row r="77" spans="3:10" ht="30" customHeight="1" thickTop="1" thickBot="1" x14ac:dyDescent="0.4">
      <c r="C77" s="847" t="s">
        <v>1718</v>
      </c>
      <c r="D77" s="848"/>
      <c r="E77" s="111">
        <f>IF(ISERROR(DRE!E18),"",DRE!E18)</f>
        <v>6541421289.999999</v>
      </c>
      <c r="F77" s="124">
        <f>IF(ISERROR(DRE!F18),"",DRE!F18)</f>
        <v>0.57337420773440984</v>
      </c>
    </row>
    <row r="78" spans="3:10" ht="30" customHeight="1" thickTop="1" thickBot="1" x14ac:dyDescent="0.4">
      <c r="C78" s="847" t="s">
        <v>1515</v>
      </c>
      <c r="D78" s="848"/>
      <c r="E78" s="703">
        <f>IF(ISERROR(DRE!E19),"",DRE!E19)</f>
        <v>-1674200192.9499989</v>
      </c>
      <c r="F78" s="703"/>
    </row>
    <row r="79" spans="3:10" ht="30" customHeight="1" thickTop="1" x14ac:dyDescent="0.35"/>
    <row r="80" spans="3:10" ht="30" customHeight="1" x14ac:dyDescent="0.35">
      <c r="C80" s="43" t="s">
        <v>1719</v>
      </c>
    </row>
    <row r="81" spans="3:3" ht="30" customHeight="1" x14ac:dyDescent="0.45">
      <c r="C81" s="18" t="s">
        <v>1720</v>
      </c>
    </row>
    <row r="82" spans="3:3" ht="30" customHeight="1" x14ac:dyDescent="0.35"/>
    <row r="83" spans="3:3" ht="30" customHeight="1" x14ac:dyDescent="0.35"/>
    <row r="84" spans="3:3" ht="30" customHeight="1" x14ac:dyDescent="0.35"/>
    <row r="85" spans="3:3" ht="30" customHeight="1" x14ac:dyDescent="0.35"/>
    <row r="86" spans="3:3" ht="30" customHeight="1" x14ac:dyDescent="0.35"/>
    <row r="87" spans="3:3" ht="30" customHeight="1" x14ac:dyDescent="0.35"/>
    <row r="88" spans="3:3" ht="30" customHeight="1" x14ac:dyDescent="0.35"/>
    <row r="89" spans="3:3" ht="30" customHeight="1" x14ac:dyDescent="0.35"/>
    <row r="90" spans="3:3" ht="30" customHeight="1" x14ac:dyDescent="0.35"/>
    <row r="91" spans="3:3" ht="30" customHeight="1" x14ac:dyDescent="0.35"/>
    <row r="92" spans="3:3" ht="30" customHeight="1" x14ac:dyDescent="0.35"/>
    <row r="93" spans="3:3" ht="30" customHeight="1" x14ac:dyDescent="0.35"/>
    <row r="94" spans="3:3" ht="30" customHeight="1" x14ac:dyDescent="0.45">
      <c r="C94" s="18" t="s">
        <v>27</v>
      </c>
    </row>
    <row r="95" spans="3:3" ht="30" customHeight="1" x14ac:dyDescent="0.35"/>
    <row r="96" spans="3:3" ht="30" customHeight="1" x14ac:dyDescent="0.35"/>
    <row r="97" spans="3:3" ht="30" customHeight="1" x14ac:dyDescent="0.35"/>
    <row r="98" spans="3:3" ht="30" customHeight="1" x14ac:dyDescent="0.35"/>
    <row r="99" spans="3:3" ht="30" customHeight="1" x14ac:dyDescent="0.35"/>
    <row r="100" spans="3:3" ht="30" customHeight="1" x14ac:dyDescent="0.35"/>
    <row r="101" spans="3:3" ht="30" customHeight="1" x14ac:dyDescent="0.35"/>
    <row r="102" spans="3:3" ht="30" customHeight="1" x14ac:dyDescent="0.35"/>
    <row r="103" spans="3:3" ht="30" customHeight="1" x14ac:dyDescent="0.35"/>
    <row r="104" spans="3:3" ht="30" customHeight="1" x14ac:dyDescent="0.35"/>
    <row r="105" spans="3:3" ht="30" customHeight="1" x14ac:dyDescent="0.35"/>
    <row r="106" spans="3:3" ht="30" customHeight="1" x14ac:dyDescent="0.35"/>
    <row r="107" spans="3:3" ht="30" customHeight="1" x14ac:dyDescent="0.45">
      <c r="C107" s="18" t="s">
        <v>1334</v>
      </c>
    </row>
    <row r="108" spans="3:3" ht="30" customHeight="1" x14ac:dyDescent="0.35"/>
    <row r="109" spans="3:3" ht="30" customHeight="1" x14ac:dyDescent="0.35">
      <c r="C109" s="13"/>
    </row>
    <row r="110" spans="3:3" ht="30" customHeight="1" x14ac:dyDescent="0.35"/>
    <row r="111" spans="3:3" ht="30" customHeight="1" x14ac:dyDescent="0.35"/>
    <row r="112" spans="3:3" ht="30" customHeight="1" x14ac:dyDescent="0.35"/>
    <row r="113" spans="3:3" ht="30" customHeight="1" x14ac:dyDescent="0.35"/>
    <row r="114" spans="3:3" ht="30" customHeight="1" x14ac:dyDescent="0.35"/>
    <row r="115" spans="3:3" ht="30" customHeight="1" x14ac:dyDescent="0.35"/>
    <row r="116" spans="3:3" ht="30" customHeight="1" x14ac:dyDescent="0.35"/>
    <row r="117" spans="3:3" ht="30" customHeight="1" x14ac:dyDescent="0.35"/>
    <row r="118" spans="3:3" ht="30" customHeight="1" x14ac:dyDescent="0.35"/>
    <row r="119" spans="3:3" ht="30" customHeight="1" x14ac:dyDescent="0.35"/>
    <row r="120" spans="3:3" ht="30" customHeight="1" x14ac:dyDescent="0.45">
      <c r="C120" s="18" t="s">
        <v>1304</v>
      </c>
    </row>
    <row r="121" spans="3:3" ht="30" customHeight="1" x14ac:dyDescent="0.35"/>
    <row r="122" spans="3:3" ht="30" customHeight="1" x14ac:dyDescent="0.35"/>
    <row r="123" spans="3:3" ht="30" customHeight="1" x14ac:dyDescent="0.35"/>
    <row r="124" spans="3:3" ht="30" customHeight="1" x14ac:dyDescent="0.35"/>
    <row r="125" spans="3:3" ht="30" customHeight="1" x14ac:dyDescent="0.35"/>
    <row r="126" spans="3:3" ht="30" customHeight="1" x14ac:dyDescent="0.35"/>
    <row r="127" spans="3:3" ht="30" customHeight="1" x14ac:dyDescent="0.35"/>
    <row r="128" spans="3:3" ht="30" customHeight="1" x14ac:dyDescent="0.35"/>
    <row r="129" spans="3:3" ht="30" customHeight="1" x14ac:dyDescent="0.35"/>
    <row r="130" spans="3:3" ht="30" customHeight="1" x14ac:dyDescent="0.35"/>
    <row r="131" spans="3:3" ht="30" customHeight="1" x14ac:dyDescent="0.35"/>
    <row r="132" spans="3:3" ht="30" customHeight="1" x14ac:dyDescent="0.35"/>
    <row r="133" spans="3:3" ht="30" customHeight="1" x14ac:dyDescent="0.45">
      <c r="C133" s="18" t="s">
        <v>1524</v>
      </c>
    </row>
    <row r="134" spans="3:3" ht="30" customHeight="1" x14ac:dyDescent="0.35"/>
    <row r="135" spans="3:3" ht="30" customHeight="1" x14ac:dyDescent="0.35"/>
    <row r="136" spans="3:3" ht="30" customHeight="1" x14ac:dyDescent="0.35"/>
    <row r="137" spans="3:3" ht="34" customHeight="1" x14ac:dyDescent="0.35"/>
    <row r="138" spans="3:3" ht="34" customHeight="1" x14ac:dyDescent="0.35"/>
    <row r="139" spans="3:3" ht="34" customHeight="1" x14ac:dyDescent="0.35"/>
    <row r="140" spans="3:3" ht="34" customHeight="1" x14ac:dyDescent="0.35"/>
    <row r="141" spans="3:3" ht="34" customHeight="1" x14ac:dyDescent="0.35"/>
    <row r="142" spans="3:3" ht="34" customHeight="1" x14ac:dyDescent="0.35"/>
    <row r="143" spans="3:3" ht="34" customHeight="1" x14ac:dyDescent="0.45">
      <c r="C143" s="18" t="s">
        <v>1524</v>
      </c>
    </row>
    <row r="144" spans="3:3" ht="34" customHeight="1" x14ac:dyDescent="0.35"/>
    <row r="145" spans="3:3" ht="34" customHeight="1" x14ac:dyDescent="0.35"/>
    <row r="146" spans="3:3" ht="34" customHeight="1" x14ac:dyDescent="0.35"/>
    <row r="147" spans="3:3" ht="34" customHeight="1" x14ac:dyDescent="0.35"/>
    <row r="148" spans="3:3" ht="34" customHeight="1" x14ac:dyDescent="0.35"/>
    <row r="149" spans="3:3" ht="34" customHeight="1" x14ac:dyDescent="0.35"/>
    <row r="150" spans="3:3" ht="34" customHeight="1" x14ac:dyDescent="0.35"/>
    <row r="151" spans="3:3" ht="34" customHeight="1" x14ac:dyDescent="0.35"/>
    <row r="152" spans="3:3" ht="34" customHeight="1" x14ac:dyDescent="0.45">
      <c r="C152" s="18" t="s">
        <v>1721</v>
      </c>
    </row>
    <row r="153" spans="3:3" ht="34" customHeight="1" x14ac:dyDescent="0.35"/>
    <row r="154" spans="3:3" ht="34" customHeight="1" x14ac:dyDescent="0.35"/>
    <row r="155" spans="3:3" ht="34" customHeight="1" x14ac:dyDescent="0.35"/>
    <row r="156" spans="3:3" ht="34" customHeight="1" x14ac:dyDescent="0.35"/>
    <row r="157" spans="3:3" ht="34" customHeight="1" x14ac:dyDescent="0.35"/>
    <row r="158" spans="3:3" ht="34" customHeight="1" x14ac:dyDescent="0.35"/>
    <row r="159" spans="3:3" ht="34" customHeight="1" x14ac:dyDescent="0.35"/>
    <row r="160" spans="3:3" ht="34" customHeight="1" x14ac:dyDescent="0.35"/>
    <row r="161" spans="3:3" ht="34" customHeight="1" x14ac:dyDescent="0.35"/>
    <row r="162" spans="3:3" ht="34" customHeight="1" x14ac:dyDescent="0.35"/>
    <row r="163" spans="3:3" ht="34" customHeight="1" x14ac:dyDescent="0.35"/>
    <row r="164" spans="3:3" ht="34" customHeight="1" x14ac:dyDescent="0.35"/>
    <row r="165" spans="3:3" ht="34" customHeight="1" x14ac:dyDescent="0.45">
      <c r="C165" s="18" t="s">
        <v>1722</v>
      </c>
    </row>
    <row r="166" spans="3:3" ht="34" customHeight="1" x14ac:dyDescent="0.35"/>
    <row r="167" spans="3:3" ht="34" customHeight="1" x14ac:dyDescent="0.35"/>
    <row r="168" spans="3:3" ht="34" customHeight="1" x14ac:dyDescent="0.35"/>
    <row r="169" spans="3:3" ht="34" customHeight="1" x14ac:dyDescent="0.35"/>
    <row r="170" spans="3:3" ht="34" customHeight="1" x14ac:dyDescent="0.35"/>
    <row r="171" spans="3:3" ht="34" customHeight="1" x14ac:dyDescent="0.35"/>
    <row r="172" spans="3:3" ht="34" customHeight="1" x14ac:dyDescent="0.35"/>
    <row r="173" spans="3:3" ht="34" customHeight="1" x14ac:dyDescent="0.35"/>
    <row r="174" spans="3:3" ht="34" customHeight="1" x14ac:dyDescent="0.35"/>
    <row r="175" spans="3:3" ht="34" customHeight="1" x14ac:dyDescent="0.35"/>
    <row r="176" spans="3:3" ht="34" customHeight="1" x14ac:dyDescent="0.35"/>
    <row r="177" spans="3:10" ht="34" customHeight="1" x14ac:dyDescent="0.35"/>
    <row r="178" spans="3:10" ht="34" customHeight="1" x14ac:dyDescent="0.45">
      <c r="C178" s="18" t="s">
        <v>1723</v>
      </c>
      <c r="D178" s="18"/>
      <c r="E178" s="18"/>
      <c r="F178" s="18"/>
      <c r="G178" s="18"/>
      <c r="H178" s="18"/>
      <c r="I178" s="18"/>
      <c r="J178" s="18"/>
    </row>
    <row r="179" spans="3:10" ht="34" customHeight="1" x14ac:dyDescent="0.35"/>
    <row r="180" spans="3:10" ht="34" customHeight="1" x14ac:dyDescent="0.35"/>
    <row r="181" spans="3:10" ht="34" customHeight="1" x14ac:dyDescent="0.35"/>
    <row r="182" spans="3:10" ht="34" customHeight="1" x14ac:dyDescent="0.35"/>
    <row r="183" spans="3:10" ht="34" customHeight="1" x14ac:dyDescent="0.35"/>
    <row r="184" spans="3:10" ht="34" customHeight="1" x14ac:dyDescent="0.35"/>
    <row r="185" spans="3:10" ht="34" customHeight="1" x14ac:dyDescent="0.35"/>
    <row r="186" spans="3:10" ht="34" customHeight="1" x14ac:dyDescent="0.35"/>
    <row r="187" spans="3:10" ht="34" customHeight="1" x14ac:dyDescent="0.45">
      <c r="C187" s="18" t="s">
        <v>1723</v>
      </c>
    </row>
    <row r="188" spans="3:10" ht="34" customHeight="1" x14ac:dyDescent="0.35"/>
    <row r="189" spans="3:10" ht="34" customHeight="1" x14ac:dyDescent="0.35"/>
    <row r="190" spans="3:10" ht="34" customHeight="1" x14ac:dyDescent="0.35"/>
    <row r="191" spans="3:10" ht="34" customHeight="1" x14ac:dyDescent="0.35"/>
    <row r="192" spans="3:10" ht="34" customHeight="1" x14ac:dyDescent="0.35"/>
    <row r="193" ht="34" customHeight="1" x14ac:dyDescent="0.35"/>
    <row r="194" ht="34" customHeight="1" x14ac:dyDescent="0.35"/>
    <row r="195" ht="34" customHeight="1" x14ac:dyDescent="0.35"/>
    <row r="196" ht="34" customHeight="1" x14ac:dyDescent="0.35"/>
    <row r="197" ht="34" customHeight="1" x14ac:dyDescent="0.35"/>
    <row r="198" ht="34" customHeight="1" x14ac:dyDescent="0.35"/>
    <row r="199" ht="34" customHeight="1" x14ac:dyDescent="0.35"/>
    <row r="200" ht="34" customHeight="1" x14ac:dyDescent="0.35"/>
    <row r="201" ht="34" customHeight="1" x14ac:dyDescent="0.35"/>
    <row r="202" ht="34" customHeight="1" x14ac:dyDescent="0.35"/>
    <row r="203" ht="34" customHeight="1" x14ac:dyDescent="0.35"/>
    <row r="204" ht="34" customHeight="1" x14ac:dyDescent="0.35"/>
    <row r="205" ht="34" customHeight="1" x14ac:dyDescent="0.35"/>
    <row r="206" ht="34" customHeight="1" x14ac:dyDescent="0.35"/>
    <row r="207" ht="34" customHeight="1" x14ac:dyDescent="0.35"/>
    <row r="208" ht="34" customHeight="1" x14ac:dyDescent="0.35"/>
    <row r="209" ht="34" customHeight="1" x14ac:dyDescent="0.35"/>
    <row r="210" ht="34" customHeight="1" x14ac:dyDescent="0.35"/>
    <row r="211" ht="34" customHeight="1" x14ac:dyDescent="0.35"/>
    <row r="212" ht="34" customHeight="1" x14ac:dyDescent="0.35"/>
    <row r="213" ht="34" customHeight="1" x14ac:dyDescent="0.35"/>
    <row r="214" ht="34" customHeight="1" x14ac:dyDescent="0.35"/>
    <row r="215" ht="34" customHeight="1" x14ac:dyDescent="0.35"/>
    <row r="216" ht="34" customHeight="1" x14ac:dyDescent="0.35"/>
    <row r="217" ht="34" customHeight="1" x14ac:dyDescent="0.35"/>
    <row r="218" ht="34" customHeight="1" x14ac:dyDescent="0.35"/>
    <row r="219" ht="34" customHeight="1" x14ac:dyDescent="0.35"/>
    <row r="220" ht="34" customHeight="1" x14ac:dyDescent="0.35"/>
    <row r="221" ht="34" customHeight="1" x14ac:dyDescent="0.35"/>
    <row r="222" ht="34" customHeight="1" x14ac:dyDescent="0.35"/>
    <row r="223" ht="34" customHeight="1" x14ac:dyDescent="0.35"/>
    <row r="224" ht="34" customHeight="1" x14ac:dyDescent="0.35"/>
    <row r="225" ht="34" customHeight="1" x14ac:dyDescent="0.35"/>
    <row r="226" ht="34" customHeight="1" x14ac:dyDescent="0.35"/>
    <row r="227" ht="34" customHeight="1" x14ac:dyDescent="0.35"/>
    <row r="228" ht="34" customHeight="1" x14ac:dyDescent="0.35"/>
    <row r="229" ht="34" customHeight="1" x14ac:dyDescent="0.35"/>
    <row r="230" ht="34" customHeight="1" x14ac:dyDescent="0.35"/>
    <row r="231" ht="34" customHeight="1" x14ac:dyDescent="0.35"/>
    <row r="232" ht="34" customHeight="1" x14ac:dyDescent="0.35"/>
    <row r="233" ht="34" customHeight="1" x14ac:dyDescent="0.35"/>
    <row r="234" ht="34" customHeight="1" x14ac:dyDescent="0.35"/>
    <row r="235" ht="34" customHeight="1" x14ac:dyDescent="0.35"/>
    <row r="236" ht="34" customHeight="1" x14ac:dyDescent="0.35"/>
    <row r="237" ht="34" customHeight="1" x14ac:dyDescent="0.35"/>
    <row r="238" ht="34" customHeight="1" x14ac:dyDescent="0.35"/>
    <row r="239" ht="34" customHeight="1" x14ac:dyDescent="0.35"/>
    <row r="240" ht="34" customHeight="1" x14ac:dyDescent="0.35"/>
    <row r="241" ht="34" customHeight="1" x14ac:dyDescent="0.35"/>
    <row r="242" ht="34" customHeight="1" x14ac:dyDescent="0.35"/>
    <row r="243" ht="34" customHeight="1" x14ac:dyDescent="0.35"/>
    <row r="244" ht="34" customHeight="1" x14ac:dyDescent="0.35"/>
    <row r="245" ht="34" customHeight="1" x14ac:dyDescent="0.35"/>
    <row r="246" ht="34" customHeight="1" x14ac:dyDescent="0.35"/>
    <row r="247" ht="34" customHeight="1" x14ac:dyDescent="0.35"/>
    <row r="248" ht="34" customHeight="1" x14ac:dyDescent="0.35"/>
    <row r="249" ht="34" customHeight="1" x14ac:dyDescent="0.35"/>
    <row r="250" ht="34" customHeight="1" x14ac:dyDescent="0.35"/>
    <row r="251" ht="34" customHeight="1" x14ac:dyDescent="0.35"/>
    <row r="252" ht="34" customHeight="1" x14ac:dyDescent="0.35"/>
    <row r="253" ht="34" customHeight="1" x14ac:dyDescent="0.35"/>
    <row r="254" ht="34" customHeight="1" x14ac:dyDescent="0.35"/>
    <row r="255" ht="34" customHeight="1" x14ac:dyDescent="0.35"/>
    <row r="256" ht="34" customHeight="1" x14ac:dyDescent="0.35"/>
    <row r="257" ht="34" customHeight="1" x14ac:dyDescent="0.35"/>
    <row r="258" ht="34" customHeight="1" x14ac:dyDescent="0.35"/>
    <row r="259" ht="34" customHeight="1" x14ac:dyDescent="0.35"/>
    <row r="260" ht="34" customHeight="1" x14ac:dyDescent="0.35"/>
    <row r="261" ht="34" customHeight="1" x14ac:dyDescent="0.35"/>
    <row r="262" ht="34" customHeight="1" x14ac:dyDescent="0.35"/>
    <row r="263" ht="34" customHeight="1" x14ac:dyDescent="0.35"/>
    <row r="264" ht="34" customHeight="1" x14ac:dyDescent="0.35"/>
    <row r="265" ht="34" customHeight="1" x14ac:dyDescent="0.35"/>
    <row r="266" ht="34" customHeight="1" x14ac:dyDescent="0.35"/>
    <row r="267" ht="34" customHeight="1" x14ac:dyDescent="0.35"/>
    <row r="268" ht="34" customHeight="1" x14ac:dyDescent="0.35"/>
    <row r="269" ht="34" customHeight="1" x14ac:dyDescent="0.35"/>
    <row r="270" ht="34" customHeight="1" x14ac:dyDescent="0.35"/>
    <row r="271" ht="34" customHeight="1" x14ac:dyDescent="0.35"/>
    <row r="272" ht="34" customHeight="1" x14ac:dyDescent="0.35"/>
    <row r="273" ht="34" customHeight="1" x14ac:dyDescent="0.35"/>
    <row r="274" ht="34" hidden="1" customHeight="1" x14ac:dyDescent="0.35"/>
    <row r="275" x14ac:dyDescent="0.35"/>
    <row r="276" x14ac:dyDescent="0.35"/>
    <row r="277" x14ac:dyDescent="0.35"/>
    <row r="278" x14ac:dyDescent="0.35"/>
    <row r="279" x14ac:dyDescent="0.35"/>
    <row r="280" x14ac:dyDescent="0.35"/>
    <row r="281" x14ac:dyDescent="0.35"/>
    <row r="282" x14ac:dyDescent="0.35"/>
    <row r="283" x14ac:dyDescent="0.35"/>
    <row r="284" x14ac:dyDescent="0.35"/>
    <row r="285" x14ac:dyDescent="0.35"/>
    <row r="286" x14ac:dyDescent="0.35"/>
    <row r="287" x14ac:dyDescent="0.35"/>
    <row r="288" x14ac:dyDescent="0.35"/>
    <row r="289" x14ac:dyDescent="0.35"/>
    <row r="290" x14ac:dyDescent="0.35"/>
    <row r="291" x14ac:dyDescent="0.35"/>
    <row r="292" x14ac:dyDescent="0.35"/>
    <row r="293" x14ac:dyDescent="0.35"/>
    <row r="294" x14ac:dyDescent="0.35"/>
    <row r="295" x14ac:dyDescent="0.35"/>
    <row r="296" x14ac:dyDescent="0.35"/>
    <row r="297" x14ac:dyDescent="0.35"/>
    <row r="298" x14ac:dyDescent="0.35"/>
    <row r="299" x14ac:dyDescent="0.35"/>
    <row r="300" x14ac:dyDescent="0.35"/>
    <row r="301" x14ac:dyDescent="0.35"/>
    <row r="302" x14ac:dyDescent="0.35"/>
    <row r="303" x14ac:dyDescent="0.35"/>
    <row r="304" x14ac:dyDescent="0.35"/>
    <row r="305" x14ac:dyDescent="0.35"/>
    <row r="306" x14ac:dyDescent="0.35"/>
    <row r="307" x14ac:dyDescent="0.35"/>
    <row r="308" x14ac:dyDescent="0.35"/>
    <row r="309" x14ac:dyDescent="0.35"/>
    <row r="310" x14ac:dyDescent="0.35"/>
    <row r="311" x14ac:dyDescent="0.35"/>
    <row r="312" x14ac:dyDescent="0.35"/>
    <row r="313" x14ac:dyDescent="0.35"/>
    <row r="314" x14ac:dyDescent="0.35"/>
    <row r="315" x14ac:dyDescent="0.35"/>
    <row r="316" x14ac:dyDescent="0.35"/>
    <row r="317" x14ac:dyDescent="0.35"/>
    <row r="318" x14ac:dyDescent="0.35"/>
    <row r="319" x14ac:dyDescent="0.35"/>
    <row r="320" x14ac:dyDescent="0.35"/>
    <row r="321" x14ac:dyDescent="0.35"/>
    <row r="322" x14ac:dyDescent="0.35"/>
    <row r="323" x14ac:dyDescent="0.35"/>
    <row r="324" x14ac:dyDescent="0.35"/>
    <row r="325" x14ac:dyDescent="0.35"/>
    <row r="326" x14ac:dyDescent="0.35"/>
    <row r="327" x14ac:dyDescent="0.35"/>
    <row r="328" x14ac:dyDescent="0.35"/>
    <row r="329" x14ac:dyDescent="0.35"/>
    <row r="330" x14ac:dyDescent="0.35"/>
    <row r="331" x14ac:dyDescent="0.35"/>
    <row r="332" x14ac:dyDescent="0.35"/>
    <row r="333" x14ac:dyDescent="0.35"/>
    <row r="334" x14ac:dyDescent="0.35"/>
    <row r="335" x14ac:dyDescent="0.35"/>
    <row r="336" x14ac:dyDescent="0.35"/>
    <row r="337" x14ac:dyDescent="0.35"/>
    <row r="338" x14ac:dyDescent="0.35"/>
    <row r="339" x14ac:dyDescent="0.35"/>
    <row r="340" x14ac:dyDescent="0.35"/>
    <row r="341" x14ac:dyDescent="0.35"/>
    <row r="342" x14ac:dyDescent="0.35"/>
    <row r="343" x14ac:dyDescent="0.35"/>
    <row r="344" x14ac:dyDescent="0.35"/>
    <row r="345" x14ac:dyDescent="0.35"/>
    <row r="346" x14ac:dyDescent="0.35"/>
    <row r="347" x14ac:dyDescent="0.35"/>
    <row r="348" x14ac:dyDescent="0.35"/>
    <row r="349" x14ac:dyDescent="0.35"/>
    <row r="350" x14ac:dyDescent="0.35"/>
    <row r="351" x14ac:dyDescent="0.35"/>
    <row r="352" x14ac:dyDescent="0.35"/>
    <row r="354" x14ac:dyDescent="0.35"/>
    <row r="355" x14ac:dyDescent="0.35"/>
    <row r="356" x14ac:dyDescent="0.35"/>
    <row r="357" x14ac:dyDescent="0.35"/>
    <row r="358" x14ac:dyDescent="0.35"/>
    <row r="359" x14ac:dyDescent="0.35"/>
    <row r="360" x14ac:dyDescent="0.35"/>
    <row r="361" x14ac:dyDescent="0.35"/>
    <row r="362" x14ac:dyDescent="0.35"/>
    <row r="363" x14ac:dyDescent="0.35"/>
    <row r="364" x14ac:dyDescent="0.35"/>
    <row r="365" x14ac:dyDescent="0.35"/>
    <row r="366" x14ac:dyDescent="0.35"/>
    <row r="367" x14ac:dyDescent="0.35"/>
    <row r="368" x14ac:dyDescent="0.35"/>
    <row r="369" x14ac:dyDescent="0.35"/>
    <row r="370" x14ac:dyDescent="0.35"/>
  </sheetData>
  <mergeCells count="34">
    <mergeCell ref="G42:H42"/>
    <mergeCell ref="I42:J42"/>
    <mergeCell ref="C42:D42"/>
    <mergeCell ref="E42:F42"/>
    <mergeCell ref="G24:H24"/>
    <mergeCell ref="I24:J24"/>
    <mergeCell ref="D35:F35"/>
    <mergeCell ref="H35:J35"/>
    <mergeCell ref="G36:H36"/>
    <mergeCell ref="I36:J36"/>
    <mergeCell ref="G64:H64"/>
    <mergeCell ref="I64:J64"/>
    <mergeCell ref="C5:J7"/>
    <mergeCell ref="D27:J27"/>
    <mergeCell ref="C54:F54"/>
    <mergeCell ref="C55:D55"/>
    <mergeCell ref="E55:F55"/>
    <mergeCell ref="C56:D56"/>
    <mergeCell ref="E56:F56"/>
    <mergeCell ref="G32:H32"/>
    <mergeCell ref="I32:J32"/>
    <mergeCell ref="D45:J45"/>
    <mergeCell ref="G50:H50"/>
    <mergeCell ref="I50:J50"/>
    <mergeCell ref="D59:J59"/>
    <mergeCell ref="D19:J19"/>
    <mergeCell ref="C78:D78"/>
    <mergeCell ref="E78:F78"/>
    <mergeCell ref="G72:H72"/>
    <mergeCell ref="I72:J72"/>
    <mergeCell ref="D67:J67"/>
    <mergeCell ref="C75:F75"/>
    <mergeCell ref="C76:D76"/>
    <mergeCell ref="C77:D77"/>
  </mergeCells>
  <pageMargins left="0.25" right="0.25" top="0.75" bottom="0.75" header="0.3" footer="0.3"/>
  <pageSetup paperSize="9" orientation="landscape" r:id="rId1"/>
  <rowBreaks count="18" manualBreakCount="18">
    <brk id="17" max="16383" man="1"/>
    <brk id="32" min="2" max="9" man="1"/>
    <brk id="50" min="2" max="9" man="1"/>
    <brk id="51" min="2" max="9" man="1"/>
    <brk id="57" min="2" max="9" man="1"/>
    <brk id="64" min="2" max="9" man="1"/>
    <brk id="72" min="2" max="9" man="1"/>
    <brk id="79" max="16383" man="1"/>
    <brk id="93" min="2" max="9" man="1"/>
    <brk id="106" min="2" max="9" man="1"/>
    <brk id="119" min="2" max="9" man="1"/>
    <brk id="132" min="2" max="9" man="1"/>
    <brk id="142" min="2" max="9" man="1"/>
    <brk id="151" min="2" max="9" man="1"/>
    <brk id="164" min="2" max="9" man="1"/>
    <brk id="177" min="2" max="9" man="1"/>
    <brk id="186" min="2" max="9" man="1"/>
    <brk id="195" max="16383" man="1"/>
  </rowBreaks>
  <colBreaks count="2" manualBreakCount="2">
    <brk id="2" max="1048575" man="1"/>
    <brk id="10" max="1048575" man="1"/>
  </colBreaks>
  <customProperties>
    <customPr name="LastActive" r:id="rId2"/>
  </customProperties>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15399-2509-49E1-821D-EAAB106FF4EB}">
  <dimension ref="A1"/>
  <sheetViews>
    <sheetView workbookViewId="0"/>
  </sheetViews>
  <sheetFormatPr defaultColWidth="8.90625" defaultRowHeight="14.5" x14ac:dyDescent="0.35"/>
  <sheetData/>
  <sheetProtection algorithmName="SHA-512" hashValue="7MB9PdFE2akWIHm2Bacl76FxXMFlVQ7pC9M4oLR9dGZf1/cZiGb4T/7p/GCCSKZi7Z3ypw7KArGlay5Ul7CMLw==" saltValue="5sqDS6igal7fcSqvgrRPng==" spinCount="100000" sheet="1" objects="1" scenarios="1"/>
  <pageMargins left="0.511811024" right="0.511811024" top="0.78740157499999996" bottom="0.78740157499999996" header="0.31496062000000002" footer="0.31496062000000002"/>
  <customProperties>
    <customPr name="LastActive" r:id="rId1"/>
  </customPropertie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c63b0d3-dd8f-4c1f-92ee-0ad24f560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154D0ED4E7FDD489E02BAE4B7ADC5DB" ma:contentTypeVersion="10" ma:contentTypeDescription="Criar um novo documento." ma:contentTypeScope="" ma:versionID="dd6e90f3994d78dbcc8339415e31a2dc">
  <xsd:schema xmlns:xsd="http://www.w3.org/2001/XMLSchema" xmlns:xs="http://www.w3.org/2001/XMLSchema" xmlns:p="http://schemas.microsoft.com/office/2006/metadata/properties" xmlns:ns3="bc63b0d3-dd8f-4c1f-92ee-0ad24f560b50" targetNamespace="http://schemas.microsoft.com/office/2006/metadata/properties" ma:root="true" ma:fieldsID="1c53c41740099b7c195e32f4d1ad2625" ns3:_="">
    <xsd:import namespace="bc63b0d3-dd8f-4c1f-92ee-0ad24f560b50"/>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_activity" minOccurs="0"/>
                <xsd:element ref="ns3:MediaServiceDateTaken"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63b0d3-dd8f-4c1f-92ee-0ad24f560b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259FFBC1-7865-412B-9FB7-407465A97749}">
  <ds:schemaRefs>
    <ds:schemaRef ds:uri="http://schemas.microsoft.com/office/2006/metadata/properties"/>
    <ds:schemaRef ds:uri="http://www.w3.org/2000/xmlns/"/>
    <ds:schemaRef ds:uri="bc63b0d3-dd8f-4c1f-92ee-0ad24f560b50"/>
    <ds:schemaRef ds:uri="http://www.w3.org/2001/XMLSchema-instance"/>
    <ds:schemaRef ds:uri="http://schemas.microsoft.com/office/infopath/2007/PartnerControls"/>
  </ds:schemaRefs>
</ds:datastoreItem>
</file>

<file path=customXml/itemProps2.xml><?xml version="1.0" encoding="utf-8"?>
<ds:datastoreItem xmlns:ds="http://schemas.openxmlformats.org/officeDocument/2006/customXml" ds:itemID="{494A5C8D-0F83-4059-BB19-8560CCEF7EB0}">
  <ds:schemaRefs>
    <ds:schemaRef ds:uri="http://schemas.microsoft.com/sharepoint/v3/contenttype/forms"/>
  </ds:schemaRefs>
</ds:datastoreItem>
</file>

<file path=customXml/itemProps3.xml><?xml version="1.0" encoding="utf-8"?>
<ds:datastoreItem xmlns:ds="http://schemas.openxmlformats.org/officeDocument/2006/customXml" ds:itemID="{58DDB15B-B050-49F0-A500-AC8AAF826E90}">
  <ds:schemaRefs>
    <ds:schemaRef ds:uri="http://schemas.microsoft.com/office/2006/metadata/contentType"/>
    <ds:schemaRef ds:uri="http://schemas.microsoft.com/office/2006/metadata/properties/metaAttributes"/>
    <ds:schemaRef ds:uri="http://www.w3.org/2000/xmlns/"/>
    <ds:schemaRef ds:uri="http://www.w3.org/2001/XMLSchema"/>
    <ds:schemaRef ds:uri="bc63b0d3-dd8f-4c1f-92ee-0ad24f560b50"/>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4A4C1B4-E6E5-44B0-8D79-AF1D60647E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2</vt:i4>
      </vt:variant>
    </vt:vector>
  </HeadingPairs>
  <TitlesOfParts>
    <vt:vector size="24" baseType="lpstr">
      <vt:lpstr>MENU</vt:lpstr>
      <vt:lpstr>Plano Contas</vt:lpstr>
      <vt:lpstr>Balancete</vt:lpstr>
      <vt:lpstr>Activos Não Correntes</vt:lpstr>
      <vt:lpstr>Activos Correntes</vt:lpstr>
      <vt:lpstr>Capital Próprio</vt:lpstr>
      <vt:lpstr>Passivo Não Corrente</vt:lpstr>
      <vt:lpstr>Passivo Corrente</vt:lpstr>
      <vt:lpstr>Balanço Patrimonial</vt:lpstr>
      <vt:lpstr>Proveitos por Natureza</vt:lpstr>
      <vt:lpstr>Custos por Natureza</vt:lpstr>
      <vt:lpstr>DRE</vt:lpstr>
      <vt:lpstr>Gráficos</vt:lpstr>
      <vt:lpstr>Indicadores de Endividamento</vt:lpstr>
      <vt:lpstr>Indicadores de Liquidez</vt:lpstr>
      <vt:lpstr>Indicadores da Operação</vt:lpstr>
      <vt:lpstr>Indicadores de Rentabilidade</vt:lpstr>
      <vt:lpstr>Avaliação da Conta</vt:lpstr>
      <vt:lpstr>Auxiliar DFC</vt:lpstr>
      <vt:lpstr>Investimentos</vt:lpstr>
      <vt:lpstr>Impressão</vt:lpstr>
      <vt:lpstr>311231223</vt:lpstr>
      <vt:lpstr>Impressão!Print_Area</vt:lpstr>
      <vt:lpstr>'Plano Contas'!Print_Area</vt:lpstr>
    </vt:vector>
  </TitlesOfParts>
  <Manager>ePlanilhas.com.br</Manager>
  <Company>ePlanilhas.com.br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ePlanilhas.com.br</dc:title>
  <dc:subject>ePlanilhas.com.br</dc:subject>
  <dc:creator>ePlanilhas.com.br</dc:creator>
  <cp:keywords>ePlanilhas.com.br</cp:keywords>
  <dc:description/>
  <cp:lastModifiedBy>Office</cp:lastModifiedBy>
  <cp:revision/>
  <dcterms:created xsi:type="dcterms:W3CDTF">2014-08-23T07:21:08Z</dcterms:created>
  <dcterms:modified xsi:type="dcterms:W3CDTF">2026-03-14T21:38:21Z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0x0101004154D0ED4E7FDD489E02BAE4B7ADC5DB</vt:lpwstr>
  </property>
</Properties>
</file>